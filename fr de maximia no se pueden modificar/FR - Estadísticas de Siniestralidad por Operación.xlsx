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6.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7.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8.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9.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10.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1.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2.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13.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14.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15.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6.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17.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18.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19.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0.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drawings/drawing21.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drawings/drawing22.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drawings/drawing23.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drawings/drawing24.xml" ContentType="application/vnd.openxmlformats-officedocument.drawing+xml"/>
  <Override PartName="/xl/charts/chart58.xml" ContentType="application/vnd.openxmlformats-officedocument.drawingml.chart+xml"/>
  <Override PartName="/xl/charts/chart59.xml" ContentType="application/vnd.openxmlformats-officedocument.drawingml.chart+xml"/>
  <Override PartName="/xl/drawings/drawing25.xml" ContentType="application/vnd.openxmlformats-officedocument.drawing+xml"/>
  <Override PartName="/xl/charts/chart60.xml" ContentType="application/vnd.openxmlformats-officedocument.drawingml.chart+xml"/>
  <Override PartName="/xl/charts/chart61.xml" ContentType="application/vnd.openxmlformats-officedocument.drawingml.chart+xml"/>
  <Override PartName="/xl/drawings/drawing26.xml" ContentType="application/vnd.openxmlformats-officedocument.drawing+xml"/>
  <Override PartName="/xl/charts/chart62.xml" ContentType="application/vnd.openxmlformats-officedocument.drawingml.chart+xml"/>
  <Override PartName="/xl/charts/chart63.xml" ContentType="application/vnd.openxmlformats-officedocument.drawingml.chart+xml"/>
  <Override PartName="/xl/drawings/drawing27.xml" ContentType="application/vnd.openxmlformats-officedocument.drawing+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drawings/drawing28.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drawings/drawing29.xml" ContentType="application/vnd.openxmlformats-officedocument.drawing+xml"/>
  <Override PartName="/xl/charts/chart69.xml" ContentType="application/vnd.openxmlformats-officedocument.drawingml.chart+xml"/>
  <Override PartName="/xl/charts/chart70.xml" ContentType="application/vnd.openxmlformats-officedocument.drawingml.chart+xml"/>
  <Override PartName="/xl/drawings/drawing30.xml" ContentType="application/vnd.openxmlformats-officedocument.drawing+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drawings/drawing31.xml" ContentType="application/vnd.openxmlformats-officedocument.drawing+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drawings/drawing32.xml" ContentType="application/vnd.openxmlformats-officedocument.drawing+xml"/>
  <Override PartName="/xl/charts/chart77.xml" ContentType="application/vnd.openxmlformats-officedocument.drawingml.chart+xml"/>
  <Override PartName="/xl/charts/chart78.xml" ContentType="application/vnd.openxmlformats-officedocument.drawingml.chart+xml"/>
  <Override PartName="/xl/drawings/drawing3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drawings/drawing34.xml" ContentType="application/vnd.openxmlformats-officedocument.drawing+xml"/>
  <Override PartName="/xl/charts/chart82.xml" ContentType="application/vnd.openxmlformats-officedocument.drawingml.chart+xml"/>
  <Override PartName="/xl/charts/chart83.xml" ContentType="application/vnd.openxmlformats-officedocument.drawingml.chart+xml"/>
  <Override PartName="/xl/drawings/drawing35.xml" ContentType="application/vnd.openxmlformats-officedocument.drawing+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drawings/drawing36.xml" ContentType="application/vnd.openxmlformats-officedocument.drawing+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drawings/drawing37.xml" ContentType="application/vnd.openxmlformats-officedocument.drawing+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drawings/drawing38.xml" ContentType="application/vnd.openxmlformats-officedocument.drawing+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drawings/drawing39.xml" ContentType="application/vnd.openxmlformats-officedocument.drawing+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drawings/drawing40.xml" ContentType="application/vnd.openxmlformats-officedocument.drawing+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drawings/drawing41.xml" ContentType="application/vnd.openxmlformats-officedocument.drawing+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drawings/drawing42.xml" ContentType="application/vnd.openxmlformats-officedocument.drawing+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defaultThemeVersion="124226"/>
  <mc:AlternateContent xmlns:mc="http://schemas.openxmlformats.org/markup-compatibility/2006">
    <mc:Choice Requires="x15">
      <x15ac:absPath xmlns:x15ac="http://schemas.microsoft.com/office/spreadsheetml/2010/11/ac" url="https://d.docs.live.net/d59c40de91fe028a/Desktop/"/>
    </mc:Choice>
  </mc:AlternateContent>
  <xr:revisionPtr revIDLastSave="914" documentId="8_{9E815E67-3621-4B0C-8B50-92ACB81E5725}" xr6:coauthVersionLast="47" xr6:coauthVersionMax="47" xr10:uidLastSave="{DE3FB8FE-5F4B-4F30-8C1E-3378E9116A79}"/>
  <bookViews>
    <workbookView xWindow="-108" yWindow="-108" windowWidth="23256" windowHeight="12456" tabRatio="789" firstSheet="16" activeTab="17" xr2:uid="{00000000-000D-0000-FFFF-FFFF00000000}"/>
  </bookViews>
  <sheets>
    <sheet name="Operaciones" sheetId="37" state="hidden" r:id="rId1"/>
    <sheet name="Evolución" sheetId="4" state="hidden" r:id="rId2"/>
    <sheet name="CONSOLIDADO" sheetId="48" state="hidden" r:id="rId3"/>
    <sheet name="Casos 2023" sheetId="15" r:id="rId4"/>
    <sheet name="Casos 2024" sheetId="44" r:id="rId5"/>
    <sheet name="Casos 2025" sheetId="49" r:id="rId6"/>
    <sheet name="Casos 2026" sheetId="54" r:id="rId7"/>
    <sheet name="Añelo 2026" sheetId="58" r:id="rId8"/>
    <sheet name="Bahia Blanca (2)" sheetId="56" r:id="rId9"/>
    <sheet name="Casa Central (2)" sheetId="57" r:id="rId10"/>
    <sheet name="Casa Central 2026" sheetId="59" r:id="rId11"/>
    <sheet name="AESA (Punta Arena) 2026" sheetId="60" r:id="rId12"/>
    <sheet name="POBA -25 2026" sheetId="61" r:id="rId13"/>
    <sheet name="Rincon de Aranda 2026" sheetId="62" r:id="rId14"/>
    <sheet name="Ricon de los Sauces 26" sheetId="63" r:id="rId15"/>
    <sheet name="Comirsa 26" sheetId="64" r:id="rId16"/>
    <sheet name="Blanca Luna 2026" sheetId="65" r:id="rId17"/>
    <sheet name="PK327 2026" sheetId="67" r:id="rId18"/>
    <sheet name="Los Toldos 2026" sheetId="66" r:id="rId19"/>
    <sheet name="Añelo" sheetId="26" r:id="rId20"/>
    <sheet name="Bahia Blanca" sheetId="29" r:id="rId21"/>
    <sheet name="Casa Central" sheetId="51" r:id="rId22"/>
    <sheet name="AESA (Punta Arena)" sheetId="43" r:id="rId23"/>
    <sheet name="POBA -25" sheetId="46" r:id="rId24"/>
    <sheet name="Rincon de Aranda" sheetId="50" r:id="rId25"/>
    <sheet name="Ricon de los Sauces" sheetId="25" r:id="rId26"/>
    <sheet name="Salta" sheetId="39" r:id="rId27"/>
    <sheet name="Comirsa" sheetId="12" r:id="rId28"/>
    <sheet name="Blanca Luna" sheetId="32" r:id="rId29"/>
    <sheet name="Los Toldos" sheetId="53" r:id="rId30"/>
    <sheet name="PK327" sheetId="52" r:id="rId31"/>
    <sheet name="UBA" sheetId="45" r:id="rId32"/>
    <sheet name="CABA " sheetId="24" r:id="rId33"/>
    <sheet name="Olavarria" sheetId="42" r:id="rId34"/>
    <sheet name="Rio Colorado" sheetId="40" r:id="rId35"/>
    <sheet name="POBA" sheetId="20" r:id="rId36"/>
    <sheet name="San Luis - Villa Mercedes" sheetId="23" r:id="rId37"/>
    <sheet name="Cordoba 2024" sheetId="47" r:id="rId38"/>
    <sheet name="Chapa" sheetId="13" r:id="rId39"/>
    <sheet name="Represa" sheetId="14" r:id="rId40"/>
    <sheet name="Rio Turbio" sheetId="18" r:id="rId41"/>
    <sheet name="Vicente Lopez" sheetId="28" r:id="rId42"/>
    <sheet name="chavez" sheetId="22" r:id="rId43"/>
    <sheet name="BungeBahia" sheetId="41" r:id="rId44"/>
    <sheet name="Ute - Migraciones" sheetId="30" r:id="rId45"/>
    <sheet name="comandante santa cruz" sheetId="35" r:id="rId46"/>
    <sheet name="cordoba" sheetId="34" r:id="rId47"/>
    <sheet name="IMAC" sheetId="36" r:id="rId48"/>
  </sheets>
  <externalReferences>
    <externalReference r:id="rId49"/>
  </externalReferences>
  <definedNames>
    <definedName name="_xlnm._FilterDatabase" localSheetId="3" hidden="1">'Casos 2023'!$A$2:$AY$2</definedName>
    <definedName name="_xlnm._FilterDatabase" localSheetId="4" hidden="1">'Casos 2024'!$A$2:$T$2</definedName>
    <definedName name="_xlnm._FilterDatabase" localSheetId="5" hidden="1">'Casos 2025'!$A$2:$U$2</definedName>
    <definedName name="_xlnm._FilterDatabase" localSheetId="6" hidden="1">'Casos 2026'!$A$2:$U$2</definedName>
    <definedName name="_xlnm.Print_Area" localSheetId="22">'AESA (Punta Arena)'!$A$1:$F$59</definedName>
    <definedName name="_xlnm.Print_Area" localSheetId="11">'AESA (Punta Arena) 2026'!$A$1:$F$59</definedName>
    <definedName name="_xlnm.Print_Area" localSheetId="19">Añelo!$A$1:$F$59</definedName>
    <definedName name="_xlnm.Print_Area" localSheetId="7">'Añelo 2026'!$A$1:$F$59</definedName>
    <definedName name="_xlnm.Print_Area" localSheetId="20">'Bahia Blanca'!$A$1:$F$59</definedName>
    <definedName name="_xlnm.Print_Area" localSheetId="8">'Bahia Blanca (2)'!$A$1:$F$59</definedName>
    <definedName name="_xlnm.Print_Area" localSheetId="28">'Blanca Luna'!$A$1:$F$59</definedName>
    <definedName name="_xlnm.Print_Area" localSheetId="16">'Blanca Luna 2026'!$A$1:$F$59</definedName>
    <definedName name="_xlnm.Print_Area" localSheetId="43">BungeBahia!$A$1:$F$59</definedName>
    <definedName name="_xlnm.Print_Area" localSheetId="32">'CABA '!$A$1:$F$59</definedName>
    <definedName name="_xlnm.Print_Area" localSheetId="21">'Casa Central'!$A$1:$F$59</definedName>
    <definedName name="_xlnm.Print_Area" localSheetId="9">'Casa Central (2)'!$A$1:$F$59</definedName>
    <definedName name="_xlnm.Print_Area" localSheetId="10">'Casa Central 2026'!$A$1:$F$59</definedName>
    <definedName name="_xlnm.Print_Area" localSheetId="38">Chapa!$A$1:$F$59</definedName>
    <definedName name="_xlnm.Print_Area" localSheetId="42">chavez!$A$1:$F$59</definedName>
    <definedName name="_xlnm.Print_Area" localSheetId="45">'comandante santa cruz'!$A$1:$F$59</definedName>
    <definedName name="_xlnm.Print_Area" localSheetId="27">Comirsa!$A$1:$F$59</definedName>
    <definedName name="_xlnm.Print_Area" localSheetId="15">'Comirsa 26'!$A$1:$F$59</definedName>
    <definedName name="_xlnm.Print_Area" localSheetId="46">cordoba!$A$1:$F$59</definedName>
    <definedName name="_xlnm.Print_Area" localSheetId="37">'Cordoba 2024'!$A$1:$F$59</definedName>
    <definedName name="_xlnm.Print_Area" localSheetId="47">IMAC!$A$1:$F$59</definedName>
    <definedName name="_xlnm.Print_Area" localSheetId="29">'Los Toldos'!$A$1:$F$59</definedName>
    <definedName name="_xlnm.Print_Area" localSheetId="18">'Los Toldos 2026'!$A$1:$F$59</definedName>
    <definedName name="_xlnm.Print_Area" localSheetId="33">Olavarria!$A$1:$F$59</definedName>
    <definedName name="_xlnm.Print_Area" localSheetId="30">'PK327'!$A$1:$F$59</definedName>
    <definedName name="_xlnm.Print_Area" localSheetId="17">'PK327 2026'!$A$1:$F$59</definedName>
    <definedName name="_xlnm.Print_Area" localSheetId="35">POBA!$A$1:$F$59</definedName>
    <definedName name="_xlnm.Print_Area" localSheetId="23">'POBA -25'!$A$1:$F$59</definedName>
    <definedName name="_xlnm.Print_Area" localSheetId="12">'POBA -25 2026'!$A$1:$F$59</definedName>
    <definedName name="_xlnm.Print_Area" localSheetId="39">Represa!$A$1:$F$59</definedName>
    <definedName name="_xlnm.Print_Area" localSheetId="25">'Ricon de los Sauces'!$A$1:$F$59</definedName>
    <definedName name="_xlnm.Print_Area" localSheetId="14">'Ricon de los Sauces 26'!$A$1:$F$59</definedName>
    <definedName name="_xlnm.Print_Area" localSheetId="24">'Rincon de Aranda'!$A$1:$F$59</definedName>
    <definedName name="_xlnm.Print_Area" localSheetId="13">'Rincon de Aranda 2026'!$A$1:$F$59</definedName>
    <definedName name="_xlnm.Print_Area" localSheetId="34">'Rio Colorado'!$A$1:$F$59</definedName>
    <definedName name="_xlnm.Print_Area" localSheetId="40">'Rio Turbio'!$A$1:$F$59</definedName>
    <definedName name="_xlnm.Print_Area" localSheetId="26">Salta!$A$1:$F$59</definedName>
    <definedName name="_xlnm.Print_Area" localSheetId="36">'San Luis - Villa Mercedes'!$A$1:$F$59</definedName>
    <definedName name="_xlnm.Print_Area" localSheetId="31">UBA!$A$1:$F$59</definedName>
    <definedName name="_xlnm.Print_Area" localSheetId="44">'Ute - Migraciones'!$A$1:$F$59</definedName>
    <definedName name="_xlnm.Print_Area" localSheetId="41">'Vicente Lopez'!$A$1:$F$59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H6" i="67" l="1"/>
  <c r="H7" i="67"/>
  <c r="H8" i="67"/>
  <c r="H9" i="67"/>
  <c r="E19" i="67"/>
  <c r="D19" i="67"/>
  <c r="B19" i="67"/>
  <c r="J17" i="67"/>
  <c r="K17" i="67" s="1"/>
  <c r="F17" i="67"/>
  <c r="C17" i="67"/>
  <c r="G17" i="67" s="1"/>
  <c r="J16" i="67"/>
  <c r="K16" i="67" s="1"/>
  <c r="F16" i="67"/>
  <c r="C16" i="67"/>
  <c r="G16" i="67" s="1"/>
  <c r="J15" i="67"/>
  <c r="K15" i="67" s="1"/>
  <c r="F15" i="67"/>
  <c r="C15" i="67"/>
  <c r="G15" i="67" s="1"/>
  <c r="J14" i="67"/>
  <c r="K14" i="67" s="1"/>
  <c r="F14" i="67"/>
  <c r="C14" i="67"/>
  <c r="G14" i="67" s="1"/>
  <c r="J13" i="67"/>
  <c r="K13" i="67" s="1"/>
  <c r="F13" i="67"/>
  <c r="C13" i="67"/>
  <c r="G13" i="67" s="1"/>
  <c r="J12" i="67"/>
  <c r="K12" i="67" s="1"/>
  <c r="F12" i="67"/>
  <c r="C12" i="67"/>
  <c r="G12" i="67" s="1"/>
  <c r="J11" i="67"/>
  <c r="K11" i="67" s="1"/>
  <c r="F11" i="67"/>
  <c r="C11" i="67"/>
  <c r="G11" i="67" s="1"/>
  <c r="J10" i="67"/>
  <c r="K10" i="67" s="1"/>
  <c r="F10" i="67"/>
  <c r="C10" i="67"/>
  <c r="G10" i="67" s="1"/>
  <c r="J9" i="67"/>
  <c r="K9" i="67" s="1"/>
  <c r="F9" i="67"/>
  <c r="C9" i="67"/>
  <c r="G9" i="67" s="1"/>
  <c r="J8" i="67"/>
  <c r="K8" i="67" s="1"/>
  <c r="F8" i="67"/>
  <c r="C8" i="67"/>
  <c r="G8" i="67" s="1"/>
  <c r="J7" i="67"/>
  <c r="K7" i="67" s="1"/>
  <c r="F7" i="67"/>
  <c r="C7" i="67"/>
  <c r="G7" i="67" s="1"/>
  <c r="J6" i="67"/>
  <c r="K6" i="67" s="1"/>
  <c r="I6" i="67"/>
  <c r="F6" i="67"/>
  <c r="C6" i="67"/>
  <c r="H6" i="66"/>
  <c r="H7" i="66"/>
  <c r="H8" i="66"/>
  <c r="H9" i="66"/>
  <c r="E19" i="66"/>
  <c r="D19" i="66"/>
  <c r="B19" i="66"/>
  <c r="J17" i="66"/>
  <c r="K17" i="66" s="1"/>
  <c r="F17" i="66"/>
  <c r="C17" i="66"/>
  <c r="G17" i="66" s="1"/>
  <c r="J16" i="66"/>
  <c r="K16" i="66" s="1"/>
  <c r="F16" i="66"/>
  <c r="C16" i="66"/>
  <c r="G16" i="66" s="1"/>
  <c r="J15" i="66"/>
  <c r="K15" i="66" s="1"/>
  <c r="F15" i="66"/>
  <c r="C15" i="66"/>
  <c r="G15" i="66" s="1"/>
  <c r="J14" i="66"/>
  <c r="K14" i="66" s="1"/>
  <c r="F14" i="66"/>
  <c r="C14" i="66"/>
  <c r="G14" i="66" s="1"/>
  <c r="J13" i="66"/>
  <c r="K13" i="66" s="1"/>
  <c r="F13" i="66"/>
  <c r="C13" i="66"/>
  <c r="G13" i="66" s="1"/>
  <c r="J12" i="66"/>
  <c r="K12" i="66" s="1"/>
  <c r="F12" i="66"/>
  <c r="C12" i="66"/>
  <c r="G12" i="66" s="1"/>
  <c r="J11" i="66"/>
  <c r="K11" i="66" s="1"/>
  <c r="F11" i="66"/>
  <c r="C11" i="66"/>
  <c r="G11" i="66" s="1"/>
  <c r="J10" i="66"/>
  <c r="K10" i="66" s="1"/>
  <c r="F10" i="66"/>
  <c r="C10" i="66"/>
  <c r="G10" i="66" s="1"/>
  <c r="J9" i="66"/>
  <c r="K9" i="66" s="1"/>
  <c r="F9" i="66"/>
  <c r="C9" i="66"/>
  <c r="G9" i="66" s="1"/>
  <c r="J8" i="66"/>
  <c r="K8" i="66" s="1"/>
  <c r="F8" i="66"/>
  <c r="C8" i="66"/>
  <c r="G8" i="66" s="1"/>
  <c r="J7" i="66"/>
  <c r="K7" i="66" s="1"/>
  <c r="F7" i="66"/>
  <c r="C7" i="66"/>
  <c r="G7" i="66" s="1"/>
  <c r="J6" i="66"/>
  <c r="K6" i="66" s="1"/>
  <c r="I6" i="66"/>
  <c r="F6" i="66"/>
  <c r="C6" i="66"/>
  <c r="H6" i="65"/>
  <c r="H7" i="65"/>
  <c r="E19" i="65"/>
  <c r="D19" i="65"/>
  <c r="B19" i="65"/>
  <c r="J17" i="65"/>
  <c r="K17" i="65" s="1"/>
  <c r="F17" i="65"/>
  <c r="C17" i="65"/>
  <c r="G17" i="65" s="1"/>
  <c r="J16" i="65"/>
  <c r="K16" i="65" s="1"/>
  <c r="F16" i="65"/>
  <c r="C16" i="65"/>
  <c r="G16" i="65" s="1"/>
  <c r="J15" i="65"/>
  <c r="K15" i="65" s="1"/>
  <c r="F15" i="65"/>
  <c r="C15" i="65"/>
  <c r="G15" i="65" s="1"/>
  <c r="J14" i="65"/>
  <c r="K14" i="65" s="1"/>
  <c r="F14" i="65"/>
  <c r="C14" i="65"/>
  <c r="G14" i="65" s="1"/>
  <c r="J13" i="65"/>
  <c r="K13" i="65" s="1"/>
  <c r="F13" i="65"/>
  <c r="C13" i="65"/>
  <c r="G13" i="65" s="1"/>
  <c r="J12" i="65"/>
  <c r="K12" i="65" s="1"/>
  <c r="F12" i="65"/>
  <c r="C12" i="65"/>
  <c r="G12" i="65" s="1"/>
  <c r="J11" i="65"/>
  <c r="K11" i="65" s="1"/>
  <c r="F11" i="65"/>
  <c r="C11" i="65"/>
  <c r="G11" i="65" s="1"/>
  <c r="J10" i="65"/>
  <c r="K10" i="65" s="1"/>
  <c r="F10" i="65"/>
  <c r="C10" i="65"/>
  <c r="G10" i="65" s="1"/>
  <c r="J9" i="65"/>
  <c r="K9" i="65" s="1"/>
  <c r="F9" i="65"/>
  <c r="C9" i="65"/>
  <c r="G9" i="65" s="1"/>
  <c r="J8" i="65"/>
  <c r="K8" i="65" s="1"/>
  <c r="F8" i="65"/>
  <c r="C8" i="65"/>
  <c r="G8" i="65" s="1"/>
  <c r="J7" i="65"/>
  <c r="K7" i="65" s="1"/>
  <c r="F7" i="65"/>
  <c r="C7" i="65"/>
  <c r="G7" i="65" s="1"/>
  <c r="J6" i="65"/>
  <c r="K6" i="65" s="1"/>
  <c r="I6" i="65"/>
  <c r="F6" i="65"/>
  <c r="C6" i="65"/>
  <c r="H6" i="64"/>
  <c r="H7" i="64"/>
  <c r="C7" i="64"/>
  <c r="C8" i="64"/>
  <c r="E19" i="64"/>
  <c r="D19" i="64"/>
  <c r="B19" i="64"/>
  <c r="J17" i="64"/>
  <c r="K17" i="64" s="1"/>
  <c r="F17" i="64"/>
  <c r="C17" i="64"/>
  <c r="G17" i="64" s="1"/>
  <c r="J16" i="64"/>
  <c r="K16" i="64" s="1"/>
  <c r="F16" i="64"/>
  <c r="C16" i="64"/>
  <c r="G16" i="64" s="1"/>
  <c r="J15" i="64"/>
  <c r="K15" i="64" s="1"/>
  <c r="F15" i="64"/>
  <c r="C15" i="64"/>
  <c r="G15" i="64" s="1"/>
  <c r="J14" i="64"/>
  <c r="K14" i="64" s="1"/>
  <c r="F14" i="64"/>
  <c r="C14" i="64"/>
  <c r="G14" i="64" s="1"/>
  <c r="J13" i="64"/>
  <c r="K13" i="64" s="1"/>
  <c r="F13" i="64"/>
  <c r="C13" i="64"/>
  <c r="G13" i="64" s="1"/>
  <c r="J12" i="64"/>
  <c r="K12" i="64" s="1"/>
  <c r="F12" i="64"/>
  <c r="C12" i="64"/>
  <c r="G12" i="64" s="1"/>
  <c r="J11" i="64"/>
  <c r="K11" i="64" s="1"/>
  <c r="F11" i="64"/>
  <c r="C11" i="64"/>
  <c r="G11" i="64" s="1"/>
  <c r="J10" i="64"/>
  <c r="K10" i="64" s="1"/>
  <c r="F10" i="64"/>
  <c r="C10" i="64"/>
  <c r="G10" i="64" s="1"/>
  <c r="J9" i="64"/>
  <c r="K9" i="64" s="1"/>
  <c r="F9" i="64"/>
  <c r="C9" i="64"/>
  <c r="G9" i="64" s="1"/>
  <c r="J8" i="64"/>
  <c r="K8" i="64" s="1"/>
  <c r="F8" i="64"/>
  <c r="J7" i="64"/>
  <c r="K7" i="64" s="1"/>
  <c r="I7" i="64"/>
  <c r="G7" i="64"/>
  <c r="F7" i="64"/>
  <c r="J6" i="64"/>
  <c r="K6" i="64" s="1"/>
  <c r="I6" i="64"/>
  <c r="G6" i="64"/>
  <c r="F6" i="64"/>
  <c r="H6" i="63"/>
  <c r="H7" i="63"/>
  <c r="H8" i="63"/>
  <c r="E19" i="63"/>
  <c r="D19" i="63"/>
  <c r="B19" i="63"/>
  <c r="J17" i="63"/>
  <c r="K17" i="63" s="1"/>
  <c r="F17" i="63"/>
  <c r="C17" i="63"/>
  <c r="G17" i="63" s="1"/>
  <c r="J16" i="63"/>
  <c r="K16" i="63" s="1"/>
  <c r="F16" i="63"/>
  <c r="C16" i="63"/>
  <c r="G16" i="63" s="1"/>
  <c r="J15" i="63"/>
  <c r="K15" i="63" s="1"/>
  <c r="F15" i="63"/>
  <c r="C15" i="63"/>
  <c r="G15" i="63" s="1"/>
  <c r="J14" i="63"/>
  <c r="K14" i="63" s="1"/>
  <c r="F14" i="63"/>
  <c r="C14" i="63"/>
  <c r="G14" i="63" s="1"/>
  <c r="J13" i="63"/>
  <c r="K13" i="63" s="1"/>
  <c r="F13" i="63"/>
  <c r="C13" i="63"/>
  <c r="G13" i="63" s="1"/>
  <c r="J12" i="63"/>
  <c r="K12" i="63" s="1"/>
  <c r="F12" i="63"/>
  <c r="C12" i="63"/>
  <c r="G12" i="63" s="1"/>
  <c r="J11" i="63"/>
  <c r="K11" i="63" s="1"/>
  <c r="F11" i="63"/>
  <c r="C11" i="63"/>
  <c r="G11" i="63" s="1"/>
  <c r="J10" i="63"/>
  <c r="K10" i="63" s="1"/>
  <c r="F10" i="63"/>
  <c r="C10" i="63"/>
  <c r="G10" i="63" s="1"/>
  <c r="J9" i="63"/>
  <c r="K9" i="63" s="1"/>
  <c r="F9" i="63"/>
  <c r="C9" i="63"/>
  <c r="G9" i="63" s="1"/>
  <c r="J8" i="63"/>
  <c r="K8" i="63" s="1"/>
  <c r="F8" i="63"/>
  <c r="C8" i="63"/>
  <c r="G8" i="63" s="1"/>
  <c r="J7" i="63"/>
  <c r="K7" i="63" s="1"/>
  <c r="F7" i="63"/>
  <c r="C7" i="63"/>
  <c r="G7" i="63" s="1"/>
  <c r="J6" i="63"/>
  <c r="K6" i="63" s="1"/>
  <c r="I6" i="63"/>
  <c r="F6" i="63"/>
  <c r="C6" i="63"/>
  <c r="H6" i="62"/>
  <c r="H7" i="62"/>
  <c r="C6" i="62"/>
  <c r="C7" i="62"/>
  <c r="C8" i="62"/>
  <c r="C9" i="62"/>
  <c r="C10" i="62"/>
  <c r="C11" i="62"/>
  <c r="C12" i="62"/>
  <c r="C13" i="62"/>
  <c r="C14" i="62"/>
  <c r="E19" i="62"/>
  <c r="D19" i="62"/>
  <c r="B19" i="62"/>
  <c r="J17" i="62"/>
  <c r="K17" i="62" s="1"/>
  <c r="F17" i="62"/>
  <c r="C17" i="62"/>
  <c r="G17" i="62" s="1"/>
  <c r="J16" i="62"/>
  <c r="K16" i="62" s="1"/>
  <c r="F16" i="62"/>
  <c r="C16" i="62"/>
  <c r="G16" i="62" s="1"/>
  <c r="J15" i="62"/>
  <c r="K15" i="62" s="1"/>
  <c r="F15" i="62"/>
  <c r="C15" i="62"/>
  <c r="G15" i="62" s="1"/>
  <c r="J14" i="62"/>
  <c r="K14" i="62" s="1"/>
  <c r="F14" i="62"/>
  <c r="G14" i="62"/>
  <c r="J13" i="62"/>
  <c r="K13" i="62" s="1"/>
  <c r="F13" i="62"/>
  <c r="G13" i="62"/>
  <c r="J12" i="62"/>
  <c r="K12" i="62" s="1"/>
  <c r="F12" i="62"/>
  <c r="G12" i="62"/>
  <c r="J11" i="62"/>
  <c r="K11" i="62" s="1"/>
  <c r="F11" i="62"/>
  <c r="G11" i="62"/>
  <c r="J10" i="62"/>
  <c r="K10" i="62" s="1"/>
  <c r="F10" i="62"/>
  <c r="G10" i="62"/>
  <c r="J9" i="62"/>
  <c r="K9" i="62" s="1"/>
  <c r="F9" i="62"/>
  <c r="J8" i="62"/>
  <c r="K8" i="62" s="1"/>
  <c r="H8" i="62"/>
  <c r="I8" i="62" s="1"/>
  <c r="G8" i="62"/>
  <c r="F8" i="62"/>
  <c r="J7" i="62"/>
  <c r="K7" i="62" s="1"/>
  <c r="I7" i="62"/>
  <c r="G7" i="62"/>
  <c r="F7" i="62"/>
  <c r="J6" i="62"/>
  <c r="K6" i="62" s="1"/>
  <c r="I6" i="62"/>
  <c r="G6" i="62"/>
  <c r="F6" i="62"/>
  <c r="H6" i="61"/>
  <c r="H7" i="61"/>
  <c r="E19" i="61"/>
  <c r="D19" i="61"/>
  <c r="B19" i="61"/>
  <c r="J17" i="61"/>
  <c r="K17" i="61" s="1"/>
  <c r="F17" i="61"/>
  <c r="C17" i="61"/>
  <c r="G17" i="61" s="1"/>
  <c r="J16" i="61"/>
  <c r="K16" i="61" s="1"/>
  <c r="F16" i="61"/>
  <c r="C16" i="61"/>
  <c r="G16" i="61" s="1"/>
  <c r="J15" i="61"/>
  <c r="K15" i="61" s="1"/>
  <c r="F15" i="61"/>
  <c r="C15" i="61"/>
  <c r="G15" i="61" s="1"/>
  <c r="J14" i="61"/>
  <c r="K14" i="61" s="1"/>
  <c r="F14" i="61"/>
  <c r="C14" i="61"/>
  <c r="G14" i="61" s="1"/>
  <c r="J13" i="61"/>
  <c r="K13" i="61" s="1"/>
  <c r="F13" i="61"/>
  <c r="C13" i="61"/>
  <c r="G13" i="61" s="1"/>
  <c r="J12" i="61"/>
  <c r="K12" i="61" s="1"/>
  <c r="F12" i="61"/>
  <c r="C12" i="61"/>
  <c r="G12" i="61" s="1"/>
  <c r="J11" i="61"/>
  <c r="K11" i="61" s="1"/>
  <c r="F11" i="61"/>
  <c r="C11" i="61"/>
  <c r="G11" i="61" s="1"/>
  <c r="J10" i="61"/>
  <c r="K10" i="61" s="1"/>
  <c r="F10" i="61"/>
  <c r="C10" i="61"/>
  <c r="G10" i="61" s="1"/>
  <c r="J9" i="61"/>
  <c r="K9" i="61" s="1"/>
  <c r="F9" i="61"/>
  <c r="C9" i="61"/>
  <c r="G9" i="61" s="1"/>
  <c r="J8" i="61"/>
  <c r="K8" i="61" s="1"/>
  <c r="F8" i="61"/>
  <c r="C8" i="61"/>
  <c r="G8" i="61" s="1"/>
  <c r="J7" i="61"/>
  <c r="K7" i="61" s="1"/>
  <c r="F7" i="61"/>
  <c r="C7" i="61"/>
  <c r="G7" i="61" s="1"/>
  <c r="J6" i="61"/>
  <c r="K6" i="61" s="1"/>
  <c r="I6" i="61"/>
  <c r="F6" i="61"/>
  <c r="C6" i="61"/>
  <c r="H6" i="60"/>
  <c r="E19" i="60"/>
  <c r="D19" i="60"/>
  <c r="B19" i="60"/>
  <c r="J17" i="60"/>
  <c r="K17" i="60" s="1"/>
  <c r="F17" i="60"/>
  <c r="C17" i="60"/>
  <c r="G17" i="60" s="1"/>
  <c r="J16" i="60"/>
  <c r="K16" i="60" s="1"/>
  <c r="F16" i="60"/>
  <c r="C16" i="60"/>
  <c r="G16" i="60" s="1"/>
  <c r="J15" i="60"/>
  <c r="K15" i="60" s="1"/>
  <c r="F15" i="60"/>
  <c r="C15" i="60"/>
  <c r="G15" i="60" s="1"/>
  <c r="J14" i="60"/>
  <c r="K14" i="60" s="1"/>
  <c r="F14" i="60"/>
  <c r="C14" i="60"/>
  <c r="G14" i="60" s="1"/>
  <c r="J13" i="60"/>
  <c r="K13" i="60" s="1"/>
  <c r="F13" i="60"/>
  <c r="C13" i="60"/>
  <c r="G13" i="60" s="1"/>
  <c r="J12" i="60"/>
  <c r="K12" i="60" s="1"/>
  <c r="F12" i="60"/>
  <c r="C12" i="60"/>
  <c r="G12" i="60" s="1"/>
  <c r="J11" i="60"/>
  <c r="K11" i="60" s="1"/>
  <c r="F11" i="60"/>
  <c r="C11" i="60"/>
  <c r="G11" i="60" s="1"/>
  <c r="J10" i="60"/>
  <c r="K10" i="60" s="1"/>
  <c r="F10" i="60"/>
  <c r="C10" i="60"/>
  <c r="G10" i="60" s="1"/>
  <c r="J9" i="60"/>
  <c r="K9" i="60" s="1"/>
  <c r="F9" i="60"/>
  <c r="C9" i="60"/>
  <c r="G9" i="60" s="1"/>
  <c r="J8" i="60"/>
  <c r="K8" i="60" s="1"/>
  <c r="F8" i="60"/>
  <c r="C8" i="60"/>
  <c r="G8" i="60" s="1"/>
  <c r="J7" i="60"/>
  <c r="K7" i="60" s="1"/>
  <c r="F7" i="60"/>
  <c r="C7" i="60"/>
  <c r="G7" i="60" s="1"/>
  <c r="J6" i="60"/>
  <c r="K6" i="60" s="1"/>
  <c r="I6" i="60"/>
  <c r="F6" i="60"/>
  <c r="C6" i="60"/>
  <c r="H6" i="59"/>
  <c r="E19" i="59"/>
  <c r="D19" i="59"/>
  <c r="B19" i="59"/>
  <c r="J17" i="59"/>
  <c r="K17" i="59" s="1"/>
  <c r="F17" i="59"/>
  <c r="C17" i="59"/>
  <c r="G17" i="59" s="1"/>
  <c r="J16" i="59"/>
  <c r="K16" i="59" s="1"/>
  <c r="F16" i="59"/>
  <c r="C16" i="59"/>
  <c r="G16" i="59" s="1"/>
  <c r="J15" i="59"/>
  <c r="K15" i="59" s="1"/>
  <c r="F15" i="59"/>
  <c r="C15" i="59"/>
  <c r="G15" i="59" s="1"/>
  <c r="J14" i="59"/>
  <c r="K14" i="59" s="1"/>
  <c r="F14" i="59"/>
  <c r="C14" i="59"/>
  <c r="G14" i="59" s="1"/>
  <c r="J13" i="59"/>
  <c r="K13" i="59" s="1"/>
  <c r="F13" i="59"/>
  <c r="C13" i="59"/>
  <c r="G13" i="59" s="1"/>
  <c r="J12" i="59"/>
  <c r="K12" i="59" s="1"/>
  <c r="F12" i="59"/>
  <c r="C12" i="59"/>
  <c r="G12" i="59" s="1"/>
  <c r="J11" i="59"/>
  <c r="K11" i="59" s="1"/>
  <c r="F11" i="59"/>
  <c r="C11" i="59"/>
  <c r="G11" i="59" s="1"/>
  <c r="J10" i="59"/>
  <c r="K10" i="59" s="1"/>
  <c r="F10" i="59"/>
  <c r="C10" i="59"/>
  <c r="G10" i="59" s="1"/>
  <c r="J9" i="59"/>
  <c r="K9" i="59" s="1"/>
  <c r="F9" i="59"/>
  <c r="C9" i="59"/>
  <c r="G9" i="59" s="1"/>
  <c r="J8" i="59"/>
  <c r="K8" i="59" s="1"/>
  <c r="F8" i="59"/>
  <c r="C8" i="59"/>
  <c r="G8" i="59" s="1"/>
  <c r="J7" i="59"/>
  <c r="K7" i="59" s="1"/>
  <c r="F7" i="59"/>
  <c r="C7" i="59"/>
  <c r="G7" i="59" s="1"/>
  <c r="J6" i="59"/>
  <c r="K6" i="59" s="1"/>
  <c r="I6" i="59"/>
  <c r="F6" i="59"/>
  <c r="C6" i="59"/>
  <c r="C6" i="58"/>
  <c r="C7" i="58"/>
  <c r="C8" i="58"/>
  <c r="C9" i="58"/>
  <c r="C10" i="58"/>
  <c r="E19" i="58"/>
  <c r="D19" i="58"/>
  <c r="B19" i="58"/>
  <c r="J17" i="58"/>
  <c r="K17" i="58" s="1"/>
  <c r="F17" i="58"/>
  <c r="C17" i="58"/>
  <c r="G17" i="58" s="1"/>
  <c r="J16" i="58"/>
  <c r="K16" i="58" s="1"/>
  <c r="F16" i="58"/>
  <c r="C16" i="58"/>
  <c r="G16" i="58" s="1"/>
  <c r="J15" i="58"/>
  <c r="K15" i="58" s="1"/>
  <c r="F15" i="58"/>
  <c r="C15" i="58"/>
  <c r="G15" i="58" s="1"/>
  <c r="J14" i="58"/>
  <c r="K14" i="58" s="1"/>
  <c r="F14" i="58"/>
  <c r="C14" i="58"/>
  <c r="G14" i="58" s="1"/>
  <c r="J13" i="58"/>
  <c r="K13" i="58" s="1"/>
  <c r="F13" i="58"/>
  <c r="C13" i="58"/>
  <c r="G13" i="58" s="1"/>
  <c r="J12" i="58"/>
  <c r="K12" i="58" s="1"/>
  <c r="F12" i="58"/>
  <c r="C12" i="58"/>
  <c r="G12" i="58" s="1"/>
  <c r="J11" i="58"/>
  <c r="K11" i="58" s="1"/>
  <c r="F11" i="58"/>
  <c r="C11" i="58"/>
  <c r="G11" i="58" s="1"/>
  <c r="J10" i="58"/>
  <c r="K10" i="58" s="1"/>
  <c r="F10" i="58"/>
  <c r="G10" i="58"/>
  <c r="J9" i="58"/>
  <c r="K9" i="58" s="1"/>
  <c r="F9" i="58"/>
  <c r="G9" i="58"/>
  <c r="J8" i="58"/>
  <c r="K8" i="58" s="1"/>
  <c r="F8" i="58"/>
  <c r="J7" i="58"/>
  <c r="K7" i="58" s="1"/>
  <c r="H7" i="58"/>
  <c r="I7" i="58" s="1"/>
  <c r="G7" i="58"/>
  <c r="F7" i="58"/>
  <c r="J6" i="58"/>
  <c r="K6" i="58" s="1"/>
  <c r="H6" i="58"/>
  <c r="I6" i="58" s="1"/>
  <c r="G6" i="58"/>
  <c r="F6" i="58"/>
  <c r="E19" i="57"/>
  <c r="D19" i="57"/>
  <c r="B19" i="57"/>
  <c r="J17" i="57"/>
  <c r="K17" i="57" s="1"/>
  <c r="F17" i="57"/>
  <c r="C17" i="57"/>
  <c r="G17" i="57" s="1"/>
  <c r="J16" i="57"/>
  <c r="K16" i="57" s="1"/>
  <c r="F16" i="57"/>
  <c r="C16" i="57"/>
  <c r="G16" i="57" s="1"/>
  <c r="J15" i="57"/>
  <c r="K15" i="57" s="1"/>
  <c r="F15" i="57"/>
  <c r="C15" i="57"/>
  <c r="G15" i="57" s="1"/>
  <c r="J14" i="57"/>
  <c r="K14" i="57" s="1"/>
  <c r="F14" i="57"/>
  <c r="C14" i="57"/>
  <c r="G14" i="57" s="1"/>
  <c r="J13" i="57"/>
  <c r="K13" i="57" s="1"/>
  <c r="F13" i="57"/>
  <c r="C13" i="57"/>
  <c r="G13" i="57" s="1"/>
  <c r="J12" i="57"/>
  <c r="K12" i="57" s="1"/>
  <c r="F12" i="57"/>
  <c r="C12" i="57"/>
  <c r="G12" i="57" s="1"/>
  <c r="J11" i="57"/>
  <c r="K11" i="57" s="1"/>
  <c r="F11" i="57"/>
  <c r="C11" i="57"/>
  <c r="G11" i="57" s="1"/>
  <c r="J10" i="57"/>
  <c r="K10" i="57" s="1"/>
  <c r="F10" i="57"/>
  <c r="C10" i="57"/>
  <c r="G10" i="57" s="1"/>
  <c r="J9" i="57"/>
  <c r="K9" i="57" s="1"/>
  <c r="F9" i="57"/>
  <c r="C9" i="57"/>
  <c r="G9" i="57" s="1"/>
  <c r="J8" i="57"/>
  <c r="K8" i="57" s="1"/>
  <c r="F8" i="57"/>
  <c r="C8" i="57"/>
  <c r="G8" i="57" s="1"/>
  <c r="J7" i="57"/>
  <c r="K7" i="57" s="1"/>
  <c r="F7" i="57"/>
  <c r="C7" i="57"/>
  <c r="G7" i="57" s="1"/>
  <c r="J6" i="57"/>
  <c r="K6" i="57" s="1"/>
  <c r="H6" i="57"/>
  <c r="I6" i="57" s="1"/>
  <c r="F6" i="57"/>
  <c r="C6" i="57"/>
  <c r="C6" i="56"/>
  <c r="C7" i="56"/>
  <c r="E19" i="56"/>
  <c r="D19" i="56"/>
  <c r="B19" i="56"/>
  <c r="J17" i="56"/>
  <c r="K17" i="56" s="1"/>
  <c r="F17" i="56"/>
  <c r="C17" i="56"/>
  <c r="G17" i="56" s="1"/>
  <c r="J16" i="56"/>
  <c r="K16" i="56" s="1"/>
  <c r="F16" i="56"/>
  <c r="C16" i="56"/>
  <c r="G16" i="56" s="1"/>
  <c r="J15" i="56"/>
  <c r="K15" i="56" s="1"/>
  <c r="F15" i="56"/>
  <c r="C15" i="56"/>
  <c r="G15" i="56" s="1"/>
  <c r="J14" i="56"/>
  <c r="K14" i="56" s="1"/>
  <c r="F14" i="56"/>
  <c r="C14" i="56"/>
  <c r="G14" i="56" s="1"/>
  <c r="J13" i="56"/>
  <c r="K13" i="56" s="1"/>
  <c r="F13" i="56"/>
  <c r="C13" i="56"/>
  <c r="G13" i="56" s="1"/>
  <c r="J12" i="56"/>
  <c r="K12" i="56" s="1"/>
  <c r="F12" i="56"/>
  <c r="C12" i="56"/>
  <c r="G12" i="56" s="1"/>
  <c r="J11" i="56"/>
  <c r="K11" i="56" s="1"/>
  <c r="F11" i="56"/>
  <c r="C11" i="56"/>
  <c r="G11" i="56" s="1"/>
  <c r="J10" i="56"/>
  <c r="K10" i="56" s="1"/>
  <c r="F10" i="56"/>
  <c r="C10" i="56"/>
  <c r="G10" i="56" s="1"/>
  <c r="J9" i="56"/>
  <c r="K9" i="56" s="1"/>
  <c r="F9" i="56"/>
  <c r="C9" i="56"/>
  <c r="G9" i="56" s="1"/>
  <c r="J8" i="56"/>
  <c r="K8" i="56" s="1"/>
  <c r="F8" i="56"/>
  <c r="C8" i="56"/>
  <c r="G8" i="56" s="1"/>
  <c r="J7" i="56"/>
  <c r="K7" i="56" s="1"/>
  <c r="F7" i="56"/>
  <c r="J6" i="56"/>
  <c r="K6" i="56" s="1"/>
  <c r="H6" i="56"/>
  <c r="I6" i="56" s="1"/>
  <c r="G6" i="56"/>
  <c r="F6" i="56"/>
  <c r="C16" i="51"/>
  <c r="U23" i="54"/>
  <c r="T23" i="54"/>
  <c r="S23" i="54"/>
  <c r="R23" i="54"/>
  <c r="Q23" i="54"/>
  <c r="P23" i="54"/>
  <c r="O23" i="54"/>
  <c r="N23" i="54"/>
  <c r="M23" i="54"/>
  <c r="L23" i="54"/>
  <c r="K23" i="54"/>
  <c r="J23" i="54"/>
  <c r="C23" i="54"/>
  <c r="C15" i="46"/>
  <c r="E19" i="53"/>
  <c r="D19" i="53"/>
  <c r="B19" i="53"/>
  <c r="J17" i="53"/>
  <c r="K17" i="53" s="1"/>
  <c r="F17" i="53"/>
  <c r="C17" i="53"/>
  <c r="G17" i="53" s="1"/>
  <c r="J16" i="53"/>
  <c r="K16" i="53" s="1"/>
  <c r="F16" i="53"/>
  <c r="C16" i="53"/>
  <c r="G16" i="53" s="1"/>
  <c r="J15" i="53"/>
  <c r="K15" i="53" s="1"/>
  <c r="F15" i="53"/>
  <c r="C15" i="53"/>
  <c r="G15" i="53" s="1"/>
  <c r="J14" i="53"/>
  <c r="K14" i="53" s="1"/>
  <c r="F14" i="53"/>
  <c r="C14" i="53"/>
  <c r="G14" i="53" s="1"/>
  <c r="J13" i="53"/>
  <c r="K13" i="53" s="1"/>
  <c r="F13" i="53"/>
  <c r="C13" i="53"/>
  <c r="G13" i="53" s="1"/>
  <c r="J12" i="53"/>
  <c r="K12" i="53" s="1"/>
  <c r="F12" i="53"/>
  <c r="C12" i="53"/>
  <c r="G12" i="53" s="1"/>
  <c r="J11" i="53"/>
  <c r="K11" i="53" s="1"/>
  <c r="F11" i="53"/>
  <c r="C11" i="53"/>
  <c r="G11" i="53" s="1"/>
  <c r="J10" i="53"/>
  <c r="K10" i="53" s="1"/>
  <c r="F10" i="53"/>
  <c r="C10" i="53"/>
  <c r="G10" i="53" s="1"/>
  <c r="J9" i="53"/>
  <c r="K9" i="53" s="1"/>
  <c r="F9" i="53"/>
  <c r="C9" i="53"/>
  <c r="G9" i="53" s="1"/>
  <c r="J8" i="53"/>
  <c r="K8" i="53" s="1"/>
  <c r="F8" i="53"/>
  <c r="C8" i="53"/>
  <c r="G8" i="53" s="1"/>
  <c r="J7" i="53"/>
  <c r="K7" i="53" s="1"/>
  <c r="F7" i="53"/>
  <c r="C7" i="53"/>
  <c r="G7" i="53" s="1"/>
  <c r="J6" i="53"/>
  <c r="K6" i="53" s="1"/>
  <c r="H6" i="53"/>
  <c r="I6" i="53" s="1"/>
  <c r="F6" i="53"/>
  <c r="C6" i="53"/>
  <c r="E19" i="52"/>
  <c r="D19" i="52"/>
  <c r="B19" i="52"/>
  <c r="J17" i="52"/>
  <c r="K17" i="52" s="1"/>
  <c r="F17" i="52"/>
  <c r="C17" i="52"/>
  <c r="G17" i="52" s="1"/>
  <c r="J16" i="52"/>
  <c r="K16" i="52" s="1"/>
  <c r="F16" i="52"/>
  <c r="C16" i="52"/>
  <c r="G16" i="52" s="1"/>
  <c r="J15" i="52"/>
  <c r="K15" i="52" s="1"/>
  <c r="F15" i="52"/>
  <c r="C15" i="52"/>
  <c r="G15" i="52" s="1"/>
  <c r="J14" i="52"/>
  <c r="K14" i="52" s="1"/>
  <c r="F14" i="52"/>
  <c r="C14" i="52"/>
  <c r="G14" i="52" s="1"/>
  <c r="J13" i="52"/>
  <c r="K13" i="52" s="1"/>
  <c r="F13" i="52"/>
  <c r="C13" i="52"/>
  <c r="G13" i="52" s="1"/>
  <c r="J12" i="52"/>
  <c r="K12" i="52" s="1"/>
  <c r="F12" i="52"/>
  <c r="C12" i="52"/>
  <c r="G12" i="52" s="1"/>
  <c r="J11" i="52"/>
  <c r="K11" i="52" s="1"/>
  <c r="F11" i="52"/>
  <c r="C11" i="52"/>
  <c r="G11" i="52" s="1"/>
  <c r="J10" i="52"/>
  <c r="K10" i="52" s="1"/>
  <c r="F10" i="52"/>
  <c r="C10" i="52"/>
  <c r="G10" i="52" s="1"/>
  <c r="J9" i="52"/>
  <c r="K9" i="52" s="1"/>
  <c r="F9" i="52"/>
  <c r="C9" i="52"/>
  <c r="G9" i="52" s="1"/>
  <c r="J8" i="52"/>
  <c r="K8" i="52" s="1"/>
  <c r="F8" i="52"/>
  <c r="C8" i="52"/>
  <c r="G8" i="52" s="1"/>
  <c r="J7" i="52"/>
  <c r="K7" i="52" s="1"/>
  <c r="F7" i="52"/>
  <c r="C7" i="52"/>
  <c r="G7" i="52" s="1"/>
  <c r="J6" i="52"/>
  <c r="K6" i="52" s="1"/>
  <c r="H6" i="52"/>
  <c r="I6" i="52" s="1"/>
  <c r="F6" i="52"/>
  <c r="C6" i="52"/>
  <c r="C14" i="32"/>
  <c r="C15" i="32"/>
  <c r="C16" i="32"/>
  <c r="C17" i="32"/>
  <c r="C14" i="45"/>
  <c r="C15" i="45"/>
  <c r="C13" i="39"/>
  <c r="C14" i="39"/>
  <c r="C15" i="39"/>
  <c r="C16" i="39"/>
  <c r="C17" i="39"/>
  <c r="C13" i="46"/>
  <c r="C14" i="46"/>
  <c r="C14" i="51"/>
  <c r="C13" i="32"/>
  <c r="C13" i="51"/>
  <c r="C12" i="32"/>
  <c r="C12" i="50"/>
  <c r="C13" i="50"/>
  <c r="C12" i="12"/>
  <c r="C12" i="39"/>
  <c r="C12" i="25"/>
  <c r="C12" i="46"/>
  <c r="C12" i="43"/>
  <c r="C11" i="29"/>
  <c r="C12" i="29"/>
  <c r="C12" i="51"/>
  <c r="C12" i="26"/>
  <c r="C13" i="26"/>
  <c r="C14" i="26"/>
  <c r="C15" i="26"/>
  <c r="C16" i="26"/>
  <c r="C17" i="26"/>
  <c r="C8" i="32"/>
  <c r="C9" i="32"/>
  <c r="C10" i="32"/>
  <c r="C11" i="32"/>
  <c r="C10" i="12"/>
  <c r="C11" i="12"/>
  <c r="C9" i="12"/>
  <c r="C8" i="12"/>
  <c r="C11" i="39"/>
  <c r="C11" i="25"/>
  <c r="C11" i="46"/>
  <c r="C11" i="43"/>
  <c r="C11" i="51"/>
  <c r="C11" i="26"/>
  <c r="C10" i="39"/>
  <c r="C8" i="51"/>
  <c r="C9" i="51"/>
  <c r="C10" i="51"/>
  <c r="C9" i="45"/>
  <c r="C8" i="45"/>
  <c r="E19" i="51"/>
  <c r="D19" i="51"/>
  <c r="B19" i="51"/>
  <c r="J17" i="51"/>
  <c r="K17" i="51" s="1"/>
  <c r="F17" i="51"/>
  <c r="C17" i="51"/>
  <c r="G17" i="51" s="1"/>
  <c r="J16" i="51"/>
  <c r="K16" i="51" s="1"/>
  <c r="G16" i="51"/>
  <c r="F16" i="51"/>
  <c r="J15" i="51"/>
  <c r="K15" i="51" s="1"/>
  <c r="F15" i="51"/>
  <c r="C15" i="51"/>
  <c r="G15" i="51" s="1"/>
  <c r="J14" i="51"/>
  <c r="K14" i="51" s="1"/>
  <c r="G14" i="51"/>
  <c r="F14" i="51"/>
  <c r="J13" i="51"/>
  <c r="K13" i="51" s="1"/>
  <c r="G13" i="51"/>
  <c r="F13" i="51"/>
  <c r="J12" i="51"/>
  <c r="K12" i="51" s="1"/>
  <c r="G12" i="51"/>
  <c r="F12" i="51"/>
  <c r="J11" i="51"/>
  <c r="K11" i="51" s="1"/>
  <c r="G11" i="51"/>
  <c r="F11" i="51"/>
  <c r="J10" i="51"/>
  <c r="K10" i="51" s="1"/>
  <c r="G10" i="51"/>
  <c r="F10" i="51"/>
  <c r="J9" i="51"/>
  <c r="K9" i="51" s="1"/>
  <c r="G9" i="51"/>
  <c r="F9" i="51"/>
  <c r="J8" i="51"/>
  <c r="K8" i="51" s="1"/>
  <c r="G8" i="51"/>
  <c r="F8" i="51"/>
  <c r="J7" i="51"/>
  <c r="K7" i="51" s="1"/>
  <c r="F7" i="51"/>
  <c r="C7" i="51"/>
  <c r="G7" i="51" s="1"/>
  <c r="J6" i="51"/>
  <c r="K6" i="51" s="1"/>
  <c r="H6" i="51"/>
  <c r="I6" i="51" s="1"/>
  <c r="F6" i="51"/>
  <c r="C6" i="51"/>
  <c r="C9" i="26"/>
  <c r="C8" i="26"/>
  <c r="C10" i="26"/>
  <c r="C10" i="50"/>
  <c r="C11" i="50"/>
  <c r="C9" i="50"/>
  <c r="E19" i="50"/>
  <c r="D19" i="50"/>
  <c r="B19" i="50"/>
  <c r="J17" i="50"/>
  <c r="K17" i="50" s="1"/>
  <c r="F17" i="50"/>
  <c r="C17" i="50"/>
  <c r="G17" i="50" s="1"/>
  <c r="J16" i="50"/>
  <c r="K16" i="50" s="1"/>
  <c r="F16" i="50"/>
  <c r="C16" i="50"/>
  <c r="G16" i="50" s="1"/>
  <c r="J15" i="50"/>
  <c r="K15" i="50" s="1"/>
  <c r="F15" i="50"/>
  <c r="C15" i="50"/>
  <c r="G15" i="50" s="1"/>
  <c r="J14" i="50"/>
  <c r="K14" i="50" s="1"/>
  <c r="F14" i="50"/>
  <c r="C14" i="50"/>
  <c r="G14" i="50" s="1"/>
  <c r="J13" i="50"/>
  <c r="K13" i="50" s="1"/>
  <c r="F13" i="50"/>
  <c r="J12" i="50"/>
  <c r="K12" i="50" s="1"/>
  <c r="H12" i="50"/>
  <c r="I12" i="50" s="1"/>
  <c r="G12" i="50"/>
  <c r="F12" i="50"/>
  <c r="J11" i="50"/>
  <c r="K11" i="50" s="1"/>
  <c r="H11" i="50"/>
  <c r="I11" i="50" s="1"/>
  <c r="G11" i="50"/>
  <c r="F11" i="50"/>
  <c r="J10" i="50"/>
  <c r="K10" i="50" s="1"/>
  <c r="H10" i="50"/>
  <c r="I10" i="50" s="1"/>
  <c r="G10" i="50"/>
  <c r="F10" i="50"/>
  <c r="J9" i="50"/>
  <c r="K9" i="50" s="1"/>
  <c r="H9" i="50"/>
  <c r="I9" i="50" s="1"/>
  <c r="G9" i="50"/>
  <c r="F9" i="50"/>
  <c r="J8" i="50"/>
  <c r="K8" i="50" s="1"/>
  <c r="H8" i="50"/>
  <c r="I8" i="50" s="1"/>
  <c r="G8" i="50"/>
  <c r="F8" i="50"/>
  <c r="J7" i="50"/>
  <c r="K7" i="50" s="1"/>
  <c r="H7" i="50"/>
  <c r="I7" i="50" s="1"/>
  <c r="G7" i="50"/>
  <c r="F7" i="50"/>
  <c r="J6" i="50"/>
  <c r="K6" i="50" s="1"/>
  <c r="H6" i="50"/>
  <c r="I6" i="50" s="1"/>
  <c r="G6" i="50"/>
  <c r="F6" i="50"/>
  <c r="C9" i="46"/>
  <c r="C10" i="46"/>
  <c r="C8" i="46"/>
  <c r="C7" i="43"/>
  <c r="C8" i="43"/>
  <c r="C9" i="43"/>
  <c r="C10" i="43"/>
  <c r="C6" i="43"/>
  <c r="C9" i="25"/>
  <c r="C10" i="25"/>
  <c r="C8" i="25"/>
  <c r="C7" i="32"/>
  <c r="H8" i="32" s="1"/>
  <c r="I8" i="32" s="1"/>
  <c r="C6" i="32"/>
  <c r="C6" i="39"/>
  <c r="C7" i="25"/>
  <c r="C6" i="25"/>
  <c r="C6" i="42"/>
  <c r="C7" i="45"/>
  <c r="C6" i="45"/>
  <c r="G6" i="45" s="1"/>
  <c r="C7" i="46"/>
  <c r="H9" i="46" s="1"/>
  <c r="I9" i="46" s="1"/>
  <c r="C6" i="46"/>
  <c r="C17" i="46"/>
  <c r="G17" i="46" s="1"/>
  <c r="C17" i="40"/>
  <c r="C13" i="43"/>
  <c r="C15" i="25"/>
  <c r="C16" i="25"/>
  <c r="C17" i="25"/>
  <c r="C14" i="25"/>
  <c r="G14" i="25" s="1"/>
  <c r="C14" i="12"/>
  <c r="G14" i="12" s="1"/>
  <c r="C15" i="12"/>
  <c r="G15" i="12" s="1"/>
  <c r="C16" i="12"/>
  <c r="C17" i="12"/>
  <c r="C13" i="12"/>
  <c r="C13" i="45"/>
  <c r="G13" i="45" s="1"/>
  <c r="C14" i="47"/>
  <c r="C15" i="47"/>
  <c r="C16" i="47"/>
  <c r="C17" i="47"/>
  <c r="C13" i="47"/>
  <c r="U23" i="49"/>
  <c r="T23" i="49"/>
  <c r="S23" i="49"/>
  <c r="R23" i="49"/>
  <c r="Q23" i="49"/>
  <c r="P23" i="49"/>
  <c r="O23" i="49"/>
  <c r="N23" i="49"/>
  <c r="M23" i="49"/>
  <c r="L23" i="49"/>
  <c r="K23" i="49"/>
  <c r="J23" i="49"/>
  <c r="C23" i="49"/>
  <c r="C23" i="44"/>
  <c r="I23" i="44"/>
  <c r="J23" i="44"/>
  <c r="K23" i="44"/>
  <c r="L23" i="44"/>
  <c r="M23" i="44"/>
  <c r="N23" i="44"/>
  <c r="O23" i="44"/>
  <c r="P23" i="44"/>
  <c r="Q23" i="44"/>
  <c r="R23" i="44"/>
  <c r="S23" i="44"/>
  <c r="T23" i="44"/>
  <c r="E104" i="48"/>
  <c r="B19" i="25"/>
  <c r="L4" i="4" s="1"/>
  <c r="B19" i="24"/>
  <c r="C4" i="4" s="1"/>
  <c r="F10" i="43"/>
  <c r="C12" i="47"/>
  <c r="C11" i="47"/>
  <c r="C10" i="47"/>
  <c r="C9" i="47"/>
  <c r="E19" i="47"/>
  <c r="D19" i="47"/>
  <c r="B19" i="47"/>
  <c r="M4" i="4" s="1"/>
  <c r="J17" i="47"/>
  <c r="K17" i="47" s="1"/>
  <c r="F17" i="47"/>
  <c r="G17" i="47"/>
  <c r="J16" i="47"/>
  <c r="K16" i="47" s="1"/>
  <c r="F16" i="47"/>
  <c r="G16" i="47"/>
  <c r="J15" i="47"/>
  <c r="K15" i="47" s="1"/>
  <c r="F15" i="47"/>
  <c r="G15" i="47"/>
  <c r="J14" i="47"/>
  <c r="K14" i="47" s="1"/>
  <c r="F14" i="47"/>
  <c r="G14" i="47"/>
  <c r="J13" i="47"/>
  <c r="K13" i="47" s="1"/>
  <c r="G13" i="47"/>
  <c r="F13" i="47"/>
  <c r="J12" i="47"/>
  <c r="K12" i="47" s="1"/>
  <c r="F12" i="47"/>
  <c r="G12" i="47"/>
  <c r="J11" i="47"/>
  <c r="K11" i="47" s="1"/>
  <c r="F11" i="47"/>
  <c r="G11" i="47"/>
  <c r="J10" i="47"/>
  <c r="K10" i="47" s="1"/>
  <c r="F10" i="47"/>
  <c r="J9" i="47"/>
  <c r="K9" i="47" s="1"/>
  <c r="H9" i="47"/>
  <c r="I9" i="47" s="1"/>
  <c r="G9" i="47"/>
  <c r="F9" i="47"/>
  <c r="J8" i="47"/>
  <c r="K8" i="47" s="1"/>
  <c r="H8" i="47"/>
  <c r="I8" i="47" s="1"/>
  <c r="G8" i="47"/>
  <c r="F8" i="47"/>
  <c r="J7" i="47"/>
  <c r="K7" i="47" s="1"/>
  <c r="H7" i="47"/>
  <c r="I7" i="47" s="1"/>
  <c r="G7" i="47"/>
  <c r="F7" i="47"/>
  <c r="J6" i="47"/>
  <c r="K6" i="47" s="1"/>
  <c r="H6" i="47"/>
  <c r="I6" i="47" s="1"/>
  <c r="G6" i="47"/>
  <c r="F6" i="47"/>
  <c r="H10" i="46"/>
  <c r="G9" i="46"/>
  <c r="F9" i="46"/>
  <c r="G8" i="46"/>
  <c r="F8" i="46"/>
  <c r="G7" i="46"/>
  <c r="F7" i="46"/>
  <c r="F6" i="46"/>
  <c r="C12" i="40"/>
  <c r="G12" i="40" s="1"/>
  <c r="C12" i="42"/>
  <c r="C11" i="28"/>
  <c r="E19" i="46"/>
  <c r="D19" i="46"/>
  <c r="B19" i="46"/>
  <c r="D4" i="4" s="1"/>
  <c r="J17" i="46"/>
  <c r="K17" i="46" s="1"/>
  <c r="F17" i="46"/>
  <c r="J16" i="46"/>
  <c r="K16" i="46" s="1"/>
  <c r="F16" i="46"/>
  <c r="C16" i="46"/>
  <c r="G16" i="46" s="1"/>
  <c r="J15" i="46"/>
  <c r="K15" i="46" s="1"/>
  <c r="F15" i="46"/>
  <c r="G15" i="46"/>
  <c r="J14" i="46"/>
  <c r="K14" i="46" s="1"/>
  <c r="F14" i="46"/>
  <c r="G14" i="46"/>
  <c r="J13" i="46"/>
  <c r="K13" i="46" s="1"/>
  <c r="G13" i="46"/>
  <c r="F13" i="46"/>
  <c r="J12" i="46"/>
  <c r="K12" i="46" s="1"/>
  <c r="F12" i="46"/>
  <c r="G12" i="46"/>
  <c r="J11" i="46"/>
  <c r="K11" i="46" s="1"/>
  <c r="F11" i="46"/>
  <c r="G11" i="46"/>
  <c r="J10" i="46"/>
  <c r="K10" i="46" s="1"/>
  <c r="F10" i="46"/>
  <c r="J9" i="46"/>
  <c r="K9" i="46" s="1"/>
  <c r="J8" i="46"/>
  <c r="K8" i="46" s="1"/>
  <c r="J7" i="46"/>
  <c r="K7" i="46" s="1"/>
  <c r="J6" i="46"/>
  <c r="K6" i="46" s="1"/>
  <c r="H6" i="46"/>
  <c r="I6" i="46" s="1"/>
  <c r="E19" i="45"/>
  <c r="D19" i="45"/>
  <c r="B19" i="45"/>
  <c r="E4" i="4" s="1"/>
  <c r="J17" i="45"/>
  <c r="K17" i="45" s="1"/>
  <c r="F17" i="45"/>
  <c r="C17" i="45"/>
  <c r="G17" i="45" s="1"/>
  <c r="J16" i="45"/>
  <c r="K16" i="45" s="1"/>
  <c r="F16" i="45"/>
  <c r="C16" i="45"/>
  <c r="G16" i="45" s="1"/>
  <c r="J15" i="45"/>
  <c r="K15" i="45" s="1"/>
  <c r="F15" i="45"/>
  <c r="G15" i="45"/>
  <c r="J14" i="45"/>
  <c r="K14" i="45" s="1"/>
  <c r="F14" i="45"/>
  <c r="G14" i="45"/>
  <c r="J13" i="45"/>
  <c r="K13" i="45" s="1"/>
  <c r="F13" i="45"/>
  <c r="J12" i="45"/>
  <c r="K12" i="45" s="1"/>
  <c r="F12" i="45"/>
  <c r="C12" i="45"/>
  <c r="G12" i="45" s="1"/>
  <c r="J11" i="45"/>
  <c r="K11" i="45" s="1"/>
  <c r="F11" i="45"/>
  <c r="C11" i="45"/>
  <c r="G11" i="45" s="1"/>
  <c r="J10" i="45"/>
  <c r="K10" i="45" s="1"/>
  <c r="F10" i="45"/>
  <c r="C10" i="45"/>
  <c r="J9" i="45"/>
  <c r="K9" i="45" s="1"/>
  <c r="G9" i="45"/>
  <c r="F9" i="45"/>
  <c r="J8" i="45"/>
  <c r="K8" i="45" s="1"/>
  <c r="H8" i="45"/>
  <c r="I8" i="45" s="1"/>
  <c r="G8" i="45"/>
  <c r="F8" i="45"/>
  <c r="J7" i="45"/>
  <c r="K7" i="45" s="1"/>
  <c r="H7" i="45"/>
  <c r="I7" i="45" s="1"/>
  <c r="G7" i="45"/>
  <c r="F7" i="45"/>
  <c r="J6" i="45"/>
  <c r="K6" i="45" s="1"/>
  <c r="H6" i="45"/>
  <c r="I6" i="45" s="1"/>
  <c r="F6" i="45"/>
  <c r="C10" i="29"/>
  <c r="G10" i="29" s="1"/>
  <c r="C13" i="42"/>
  <c r="C7" i="29"/>
  <c r="G7" i="29" s="1"/>
  <c r="C8" i="18"/>
  <c r="C9" i="18"/>
  <c r="C7" i="18"/>
  <c r="C8" i="42"/>
  <c r="C7" i="42"/>
  <c r="H6" i="42" s="1"/>
  <c r="I6" i="42" s="1"/>
  <c r="C7" i="39"/>
  <c r="H6" i="39"/>
  <c r="I6" i="39" s="1"/>
  <c r="E19" i="43"/>
  <c r="D19" i="43"/>
  <c r="B19" i="43"/>
  <c r="K4" i="4" s="1"/>
  <c r="J17" i="43"/>
  <c r="K17" i="43" s="1"/>
  <c r="F17" i="43"/>
  <c r="C17" i="43"/>
  <c r="G17" i="43" s="1"/>
  <c r="J16" i="43"/>
  <c r="K16" i="43" s="1"/>
  <c r="F16" i="43"/>
  <c r="C16" i="43"/>
  <c r="G16" i="43" s="1"/>
  <c r="J15" i="43"/>
  <c r="K15" i="43" s="1"/>
  <c r="F15" i="43"/>
  <c r="C15" i="43"/>
  <c r="G15" i="43" s="1"/>
  <c r="J14" i="43"/>
  <c r="K14" i="43" s="1"/>
  <c r="F14" i="43"/>
  <c r="C14" i="43"/>
  <c r="G14" i="43" s="1"/>
  <c r="J13" i="43"/>
  <c r="K13" i="43" s="1"/>
  <c r="G13" i="43"/>
  <c r="F13" i="43"/>
  <c r="J12" i="43"/>
  <c r="K12" i="43" s="1"/>
  <c r="F12" i="43"/>
  <c r="G12" i="43"/>
  <c r="J11" i="43"/>
  <c r="K11" i="43" s="1"/>
  <c r="F11" i="43"/>
  <c r="G11" i="43"/>
  <c r="J10" i="43"/>
  <c r="K10" i="43" s="1"/>
  <c r="G10" i="43"/>
  <c r="J9" i="43"/>
  <c r="K9" i="43" s="1"/>
  <c r="F9" i="43"/>
  <c r="J8" i="43"/>
  <c r="K8" i="43" s="1"/>
  <c r="H8" i="43"/>
  <c r="I8" i="43" s="1"/>
  <c r="G8" i="43"/>
  <c r="F8" i="43"/>
  <c r="J7" i="43"/>
  <c r="K7" i="43" s="1"/>
  <c r="H7" i="43"/>
  <c r="I7" i="43" s="1"/>
  <c r="G7" i="43"/>
  <c r="F7" i="43"/>
  <c r="J6" i="43"/>
  <c r="K6" i="43" s="1"/>
  <c r="H6" i="43"/>
  <c r="I6" i="43" s="1"/>
  <c r="G6" i="43"/>
  <c r="F6" i="43"/>
  <c r="C8" i="40"/>
  <c r="G8" i="40" s="1"/>
  <c r="C9" i="28"/>
  <c r="C9" i="42"/>
  <c r="E19" i="42"/>
  <c r="D19" i="42"/>
  <c r="B19" i="42"/>
  <c r="H4" i="4" s="1"/>
  <c r="J17" i="42"/>
  <c r="K17" i="42" s="1"/>
  <c r="F17" i="42"/>
  <c r="C17" i="42"/>
  <c r="G17" i="42" s="1"/>
  <c r="J16" i="42"/>
  <c r="K16" i="42" s="1"/>
  <c r="F16" i="42"/>
  <c r="C16" i="42"/>
  <c r="G16" i="42" s="1"/>
  <c r="J15" i="42"/>
  <c r="K15" i="42" s="1"/>
  <c r="F15" i="42"/>
  <c r="C15" i="42"/>
  <c r="G15" i="42" s="1"/>
  <c r="J14" i="42"/>
  <c r="K14" i="42" s="1"/>
  <c r="F14" i="42"/>
  <c r="C14" i="42"/>
  <c r="G14" i="42" s="1"/>
  <c r="J13" i="42"/>
  <c r="K13" i="42" s="1"/>
  <c r="G13" i="42"/>
  <c r="F13" i="42"/>
  <c r="J12" i="42"/>
  <c r="K12" i="42" s="1"/>
  <c r="F12" i="42"/>
  <c r="G12" i="42"/>
  <c r="J11" i="42"/>
  <c r="K11" i="42" s="1"/>
  <c r="F11" i="42"/>
  <c r="G11" i="42"/>
  <c r="J10" i="42"/>
  <c r="K10" i="42" s="1"/>
  <c r="F10" i="42"/>
  <c r="G10" i="42"/>
  <c r="J9" i="42"/>
  <c r="K9" i="42" s="1"/>
  <c r="F9" i="42"/>
  <c r="J8" i="42"/>
  <c r="K8" i="42" s="1"/>
  <c r="H8" i="42"/>
  <c r="I8" i="42" s="1"/>
  <c r="G8" i="42"/>
  <c r="F8" i="42"/>
  <c r="J7" i="42"/>
  <c r="K7" i="42" s="1"/>
  <c r="G7" i="42"/>
  <c r="F7" i="42"/>
  <c r="J6" i="42"/>
  <c r="K6" i="42" s="1"/>
  <c r="G6" i="42"/>
  <c r="F6" i="42"/>
  <c r="E19" i="41"/>
  <c r="D19" i="41"/>
  <c r="B19" i="41"/>
  <c r="J17" i="41"/>
  <c r="K17" i="41" s="1"/>
  <c r="F17" i="41"/>
  <c r="C17" i="41"/>
  <c r="G17" i="41" s="1"/>
  <c r="J16" i="41"/>
  <c r="K16" i="41" s="1"/>
  <c r="F16" i="41"/>
  <c r="C16" i="41"/>
  <c r="G16" i="41" s="1"/>
  <c r="J15" i="41"/>
  <c r="K15" i="41" s="1"/>
  <c r="F15" i="41"/>
  <c r="C15" i="41"/>
  <c r="G15" i="41" s="1"/>
  <c r="J14" i="41"/>
  <c r="K14" i="41" s="1"/>
  <c r="F14" i="41"/>
  <c r="C14" i="41"/>
  <c r="G14" i="41" s="1"/>
  <c r="J13" i="41"/>
  <c r="K13" i="41" s="1"/>
  <c r="F13" i="41"/>
  <c r="C13" i="41"/>
  <c r="G13" i="41" s="1"/>
  <c r="J12" i="41"/>
  <c r="K12" i="41" s="1"/>
  <c r="F12" i="41"/>
  <c r="C12" i="41"/>
  <c r="G12" i="41" s="1"/>
  <c r="J11" i="41"/>
  <c r="K11" i="41" s="1"/>
  <c r="F11" i="41"/>
  <c r="C11" i="41"/>
  <c r="G11" i="41" s="1"/>
  <c r="J10" i="41"/>
  <c r="K10" i="41" s="1"/>
  <c r="F10" i="41"/>
  <c r="C10" i="41"/>
  <c r="G10" i="41" s="1"/>
  <c r="J9" i="41"/>
  <c r="K9" i="41" s="1"/>
  <c r="F9" i="41"/>
  <c r="C9" i="41"/>
  <c r="G9" i="41" s="1"/>
  <c r="J8" i="41"/>
  <c r="K8" i="41" s="1"/>
  <c r="F8" i="41"/>
  <c r="C8" i="41"/>
  <c r="G8" i="41" s="1"/>
  <c r="J7" i="41"/>
  <c r="K7" i="41" s="1"/>
  <c r="F7" i="41"/>
  <c r="J6" i="41"/>
  <c r="K6" i="41" s="1"/>
  <c r="H6" i="41"/>
  <c r="I6" i="41" s="1"/>
  <c r="G6" i="41"/>
  <c r="F6" i="41"/>
  <c r="E19" i="40"/>
  <c r="D19" i="40"/>
  <c r="B19" i="40"/>
  <c r="I4" i="4" s="1"/>
  <c r="J17" i="40"/>
  <c r="K17" i="40" s="1"/>
  <c r="F17" i="40"/>
  <c r="G17" i="40"/>
  <c r="J16" i="40"/>
  <c r="K16" i="40" s="1"/>
  <c r="F16" i="40"/>
  <c r="C16" i="40"/>
  <c r="G16" i="40" s="1"/>
  <c r="J15" i="40"/>
  <c r="K15" i="40" s="1"/>
  <c r="F15" i="40"/>
  <c r="C15" i="40"/>
  <c r="G15" i="40" s="1"/>
  <c r="J14" i="40"/>
  <c r="K14" i="40" s="1"/>
  <c r="F14" i="40"/>
  <c r="C14" i="40"/>
  <c r="G14" i="40" s="1"/>
  <c r="J13" i="40"/>
  <c r="K13" i="40" s="1"/>
  <c r="F13" i="40"/>
  <c r="C13" i="40"/>
  <c r="G13" i="40" s="1"/>
  <c r="J12" i="40"/>
  <c r="K12" i="40" s="1"/>
  <c r="F12" i="40"/>
  <c r="J11" i="40"/>
  <c r="K11" i="40" s="1"/>
  <c r="F11" i="40"/>
  <c r="C11" i="40"/>
  <c r="G11" i="40" s="1"/>
  <c r="J10" i="40"/>
  <c r="K10" i="40" s="1"/>
  <c r="F10" i="40"/>
  <c r="C10" i="40"/>
  <c r="G10" i="40" s="1"/>
  <c r="J9" i="40"/>
  <c r="K9" i="40" s="1"/>
  <c r="F9" i="40"/>
  <c r="C9" i="40"/>
  <c r="G9" i="40" s="1"/>
  <c r="J8" i="40"/>
  <c r="K8" i="40" s="1"/>
  <c r="F8" i="40"/>
  <c r="J7" i="40"/>
  <c r="K7" i="40" s="1"/>
  <c r="F7" i="40"/>
  <c r="G7" i="40"/>
  <c r="J6" i="40"/>
  <c r="K6" i="40" s="1"/>
  <c r="H6" i="40"/>
  <c r="I6" i="40" s="1"/>
  <c r="F6" i="40"/>
  <c r="E19" i="39"/>
  <c r="D19" i="39"/>
  <c r="B19" i="39"/>
  <c r="O4" i="4" s="1"/>
  <c r="J17" i="39"/>
  <c r="K17" i="39" s="1"/>
  <c r="F17" i="39"/>
  <c r="G17" i="39"/>
  <c r="J16" i="39"/>
  <c r="K16" i="39" s="1"/>
  <c r="F16" i="39"/>
  <c r="G16" i="39"/>
  <c r="J15" i="39"/>
  <c r="K15" i="39" s="1"/>
  <c r="F15" i="39"/>
  <c r="G15" i="39"/>
  <c r="J14" i="39"/>
  <c r="K14" i="39" s="1"/>
  <c r="F14" i="39"/>
  <c r="G14" i="39"/>
  <c r="J13" i="39"/>
  <c r="K13" i="39" s="1"/>
  <c r="F13" i="39"/>
  <c r="G13" i="39"/>
  <c r="J12" i="39"/>
  <c r="K12" i="39" s="1"/>
  <c r="F12" i="39"/>
  <c r="G12" i="39"/>
  <c r="J11" i="39"/>
  <c r="K11" i="39" s="1"/>
  <c r="F11" i="39"/>
  <c r="G11" i="39"/>
  <c r="J10" i="39"/>
  <c r="K10" i="39" s="1"/>
  <c r="F10" i="39"/>
  <c r="G10" i="39"/>
  <c r="J9" i="39"/>
  <c r="K9" i="39" s="1"/>
  <c r="F9" i="39"/>
  <c r="C9" i="39"/>
  <c r="G9" i="39" s="1"/>
  <c r="J8" i="39"/>
  <c r="K8" i="39" s="1"/>
  <c r="F8" i="39"/>
  <c r="C8" i="39"/>
  <c r="G8" i="39" s="1"/>
  <c r="J7" i="39"/>
  <c r="K7" i="39" s="1"/>
  <c r="F7" i="39"/>
  <c r="J6" i="39"/>
  <c r="K6" i="39" s="1"/>
  <c r="G6" i="39"/>
  <c r="F6" i="39"/>
  <c r="H6" i="26"/>
  <c r="C8" i="23"/>
  <c r="C9" i="23"/>
  <c r="C13" i="23"/>
  <c r="C14" i="23"/>
  <c r="C15" i="23"/>
  <c r="C16" i="23"/>
  <c r="C17" i="23"/>
  <c r="C8" i="29"/>
  <c r="H7" i="29" s="1"/>
  <c r="I7" i="29" s="1"/>
  <c r="C9" i="29"/>
  <c r="H11" i="29" s="1"/>
  <c r="I11" i="29" s="1"/>
  <c r="C13" i="29"/>
  <c r="C14" i="29"/>
  <c r="C15" i="29"/>
  <c r="C16" i="29"/>
  <c r="C17" i="29"/>
  <c r="B19" i="14"/>
  <c r="H6" i="23"/>
  <c r="L29" i="30"/>
  <c r="K29" i="30"/>
  <c r="J29" i="30"/>
  <c r="I29" i="30"/>
  <c r="H29" i="30"/>
  <c r="I26" i="30"/>
  <c r="H26" i="30"/>
  <c r="L23" i="30"/>
  <c r="K23" i="30"/>
  <c r="J23" i="30"/>
  <c r="I23" i="30"/>
  <c r="H23" i="30"/>
  <c r="L29" i="36"/>
  <c r="K29" i="36"/>
  <c r="J29" i="36"/>
  <c r="I29" i="36"/>
  <c r="H29" i="36"/>
  <c r="L23" i="36"/>
  <c r="K23" i="36"/>
  <c r="J23" i="36"/>
  <c r="I23" i="36"/>
  <c r="H23" i="36"/>
  <c r="C17" i="24"/>
  <c r="C15" i="30"/>
  <c r="C14" i="24"/>
  <c r="C15" i="24"/>
  <c r="C16" i="24"/>
  <c r="G16" i="32"/>
  <c r="C10" i="20"/>
  <c r="C11" i="20"/>
  <c r="C12" i="20"/>
  <c r="C13" i="20"/>
  <c r="C14" i="20"/>
  <c r="C15" i="20"/>
  <c r="C16" i="20"/>
  <c r="C17" i="20"/>
  <c r="C12" i="28"/>
  <c r="C13" i="28"/>
  <c r="C14" i="28"/>
  <c r="C15" i="28"/>
  <c r="C16" i="28"/>
  <c r="C17" i="28"/>
  <c r="G16" i="26"/>
  <c r="H17" i="26"/>
  <c r="I17" i="26" s="1"/>
  <c r="C13" i="25"/>
  <c r="G11" i="12"/>
  <c r="G16" i="12"/>
  <c r="C9" i="14"/>
  <c r="C10" i="14"/>
  <c r="C11" i="14"/>
  <c r="C12" i="14"/>
  <c r="C14" i="14"/>
  <c r="C15" i="14"/>
  <c r="C16" i="14"/>
  <c r="C17" i="14"/>
  <c r="C7" i="36"/>
  <c r="C8" i="36"/>
  <c r="C9" i="36"/>
  <c r="C10" i="36"/>
  <c r="C11" i="36"/>
  <c r="C12" i="36"/>
  <c r="C13" i="36"/>
  <c r="C14" i="36"/>
  <c r="C15" i="36"/>
  <c r="C16" i="36"/>
  <c r="C17" i="36"/>
  <c r="C6" i="36"/>
  <c r="E19" i="36"/>
  <c r="D19" i="36"/>
  <c r="C19" i="36"/>
  <c r="B19" i="36"/>
  <c r="J17" i="36"/>
  <c r="K17" i="36" s="1"/>
  <c r="H17" i="36"/>
  <c r="I17" i="36" s="1"/>
  <c r="G17" i="36"/>
  <c r="F17" i="36"/>
  <c r="J16" i="36"/>
  <c r="K16" i="36" s="1"/>
  <c r="H16" i="36"/>
  <c r="I16" i="36" s="1"/>
  <c r="G16" i="36"/>
  <c r="F16" i="36"/>
  <c r="J15" i="36"/>
  <c r="K15" i="36" s="1"/>
  <c r="H15" i="36"/>
  <c r="I15" i="36" s="1"/>
  <c r="G15" i="36"/>
  <c r="F15" i="36"/>
  <c r="J14" i="36"/>
  <c r="K14" i="36" s="1"/>
  <c r="H14" i="36"/>
  <c r="I14" i="36" s="1"/>
  <c r="G14" i="36"/>
  <c r="F14" i="36"/>
  <c r="J13" i="36"/>
  <c r="K13" i="36" s="1"/>
  <c r="H13" i="36"/>
  <c r="I13" i="36" s="1"/>
  <c r="G13" i="36"/>
  <c r="F13" i="36"/>
  <c r="J12" i="36"/>
  <c r="K12" i="36" s="1"/>
  <c r="H12" i="36"/>
  <c r="I12" i="36" s="1"/>
  <c r="G12" i="36"/>
  <c r="F12" i="36"/>
  <c r="J11" i="36"/>
  <c r="K11" i="36" s="1"/>
  <c r="H11" i="36"/>
  <c r="I11" i="36" s="1"/>
  <c r="G11" i="36"/>
  <c r="F11" i="36"/>
  <c r="J10" i="36"/>
  <c r="K10" i="36" s="1"/>
  <c r="H10" i="36"/>
  <c r="I10" i="36" s="1"/>
  <c r="G10" i="36"/>
  <c r="F10" i="36"/>
  <c r="J9" i="36"/>
  <c r="K9" i="36" s="1"/>
  <c r="H9" i="36"/>
  <c r="I9" i="36" s="1"/>
  <c r="G9" i="36"/>
  <c r="F9" i="36"/>
  <c r="J8" i="36"/>
  <c r="K8" i="36" s="1"/>
  <c r="H8" i="36"/>
  <c r="I8" i="36" s="1"/>
  <c r="G8" i="36"/>
  <c r="F8" i="36"/>
  <c r="J7" i="36"/>
  <c r="K7" i="36" s="1"/>
  <c r="H7" i="36"/>
  <c r="I7" i="36" s="1"/>
  <c r="G7" i="36"/>
  <c r="F7" i="36"/>
  <c r="J6" i="36"/>
  <c r="K6" i="36" s="1"/>
  <c r="H6" i="36"/>
  <c r="I6" i="36" s="1"/>
  <c r="G6" i="36"/>
  <c r="F6" i="36"/>
  <c r="C7" i="34"/>
  <c r="C8" i="34"/>
  <c r="C9" i="34"/>
  <c r="C10" i="34"/>
  <c r="C11" i="34"/>
  <c r="C12" i="34"/>
  <c r="C13" i="34"/>
  <c r="C14" i="34"/>
  <c r="C15" i="34"/>
  <c r="C16" i="34"/>
  <c r="C17" i="34"/>
  <c r="C6" i="34"/>
  <c r="C9" i="13"/>
  <c r="C10" i="13"/>
  <c r="C11" i="13"/>
  <c r="C12" i="13"/>
  <c r="C13" i="13"/>
  <c r="C14" i="13"/>
  <c r="C15" i="13"/>
  <c r="C16" i="13"/>
  <c r="C17" i="13"/>
  <c r="C6" i="22"/>
  <c r="C7" i="22"/>
  <c r="C8" i="22"/>
  <c r="C9" i="22"/>
  <c r="C10" i="22"/>
  <c r="C11" i="22"/>
  <c r="C12" i="22"/>
  <c r="C13" i="22"/>
  <c r="C14" i="22"/>
  <c r="C15" i="22"/>
  <c r="C16" i="22"/>
  <c r="C17" i="22"/>
  <c r="E19" i="35"/>
  <c r="D19" i="35"/>
  <c r="C19" i="35"/>
  <c r="B19" i="35"/>
  <c r="J17" i="35"/>
  <c r="K17" i="35" s="1"/>
  <c r="H17" i="35"/>
  <c r="I17" i="35" s="1"/>
  <c r="G17" i="35"/>
  <c r="F17" i="35"/>
  <c r="J16" i="35"/>
  <c r="K16" i="35" s="1"/>
  <c r="H16" i="35"/>
  <c r="I16" i="35" s="1"/>
  <c r="G16" i="35"/>
  <c r="F16" i="35"/>
  <c r="J15" i="35"/>
  <c r="K15" i="35" s="1"/>
  <c r="H15" i="35"/>
  <c r="I15" i="35" s="1"/>
  <c r="G15" i="35"/>
  <c r="F15" i="35"/>
  <c r="J14" i="35"/>
  <c r="K14" i="35" s="1"/>
  <c r="H14" i="35"/>
  <c r="I14" i="35" s="1"/>
  <c r="G14" i="35"/>
  <c r="F14" i="35"/>
  <c r="J13" i="35"/>
  <c r="K13" i="35" s="1"/>
  <c r="H13" i="35"/>
  <c r="I13" i="35" s="1"/>
  <c r="G13" i="35"/>
  <c r="F13" i="35"/>
  <c r="J12" i="35"/>
  <c r="K12" i="35" s="1"/>
  <c r="H12" i="35"/>
  <c r="I12" i="35" s="1"/>
  <c r="G12" i="35"/>
  <c r="F12" i="35"/>
  <c r="J11" i="35"/>
  <c r="K11" i="35" s="1"/>
  <c r="H11" i="35"/>
  <c r="I11" i="35" s="1"/>
  <c r="G11" i="35"/>
  <c r="F11" i="35"/>
  <c r="J10" i="35"/>
  <c r="K10" i="35" s="1"/>
  <c r="H10" i="35"/>
  <c r="I10" i="35" s="1"/>
  <c r="G10" i="35"/>
  <c r="F10" i="35"/>
  <c r="J9" i="35"/>
  <c r="K9" i="35" s="1"/>
  <c r="H9" i="35"/>
  <c r="I9" i="35" s="1"/>
  <c r="G9" i="35"/>
  <c r="F9" i="35"/>
  <c r="J8" i="35"/>
  <c r="K8" i="35" s="1"/>
  <c r="H8" i="35"/>
  <c r="I8" i="35" s="1"/>
  <c r="G8" i="35"/>
  <c r="F8" i="35"/>
  <c r="J7" i="35"/>
  <c r="K7" i="35" s="1"/>
  <c r="H7" i="35"/>
  <c r="I7" i="35" s="1"/>
  <c r="G7" i="35"/>
  <c r="F7" i="35"/>
  <c r="J6" i="35"/>
  <c r="K6" i="35" s="1"/>
  <c r="H6" i="35"/>
  <c r="I6" i="35" s="1"/>
  <c r="G6" i="35"/>
  <c r="F6" i="35"/>
  <c r="E19" i="34"/>
  <c r="D19" i="34"/>
  <c r="C19" i="34"/>
  <c r="B19" i="34"/>
  <c r="J17" i="34"/>
  <c r="K17" i="34" s="1"/>
  <c r="H17" i="34"/>
  <c r="I17" i="34" s="1"/>
  <c r="G17" i="34"/>
  <c r="F17" i="34"/>
  <c r="J16" i="34"/>
  <c r="K16" i="34" s="1"/>
  <c r="H16" i="34"/>
  <c r="I16" i="34" s="1"/>
  <c r="G16" i="34"/>
  <c r="F16" i="34"/>
  <c r="J15" i="34"/>
  <c r="K15" i="34" s="1"/>
  <c r="H15" i="34"/>
  <c r="I15" i="34" s="1"/>
  <c r="G15" i="34"/>
  <c r="F15" i="34"/>
  <c r="J14" i="34"/>
  <c r="K14" i="34" s="1"/>
  <c r="H14" i="34"/>
  <c r="I14" i="34" s="1"/>
  <c r="G14" i="34"/>
  <c r="F14" i="34"/>
  <c r="J13" i="34"/>
  <c r="K13" i="34" s="1"/>
  <c r="H13" i="34"/>
  <c r="I13" i="34" s="1"/>
  <c r="G13" i="34"/>
  <c r="F13" i="34"/>
  <c r="J12" i="34"/>
  <c r="K12" i="34" s="1"/>
  <c r="H12" i="34"/>
  <c r="I12" i="34" s="1"/>
  <c r="G12" i="34"/>
  <c r="F12" i="34"/>
  <c r="J11" i="34"/>
  <c r="K11" i="34" s="1"/>
  <c r="H11" i="34"/>
  <c r="I11" i="34" s="1"/>
  <c r="G11" i="34"/>
  <c r="F11" i="34"/>
  <c r="J10" i="34"/>
  <c r="K10" i="34" s="1"/>
  <c r="H10" i="34"/>
  <c r="I10" i="34" s="1"/>
  <c r="G10" i="34"/>
  <c r="F10" i="34"/>
  <c r="J9" i="34"/>
  <c r="K9" i="34" s="1"/>
  <c r="H9" i="34"/>
  <c r="I9" i="34" s="1"/>
  <c r="G9" i="34"/>
  <c r="F9" i="34"/>
  <c r="J8" i="34"/>
  <c r="K8" i="34" s="1"/>
  <c r="H8" i="34"/>
  <c r="I8" i="34" s="1"/>
  <c r="G8" i="34"/>
  <c r="F8" i="34"/>
  <c r="J7" i="34"/>
  <c r="K7" i="34" s="1"/>
  <c r="H7" i="34"/>
  <c r="I7" i="34" s="1"/>
  <c r="G7" i="34"/>
  <c r="F7" i="34"/>
  <c r="J6" i="34"/>
  <c r="K6" i="34" s="1"/>
  <c r="H6" i="34"/>
  <c r="I6" i="34" s="1"/>
  <c r="G6" i="34"/>
  <c r="F6" i="34"/>
  <c r="J17" i="32"/>
  <c r="K17" i="32" s="1"/>
  <c r="J16" i="32"/>
  <c r="K16" i="32" s="1"/>
  <c r="J15" i="32"/>
  <c r="K15" i="32" s="1"/>
  <c r="H15" i="32"/>
  <c r="I15" i="32" s="1"/>
  <c r="J14" i="32"/>
  <c r="K14" i="32" s="1"/>
  <c r="J13" i="32"/>
  <c r="K13" i="32" s="1"/>
  <c r="J12" i="32"/>
  <c r="K12" i="32" s="1"/>
  <c r="H12" i="32"/>
  <c r="I12" i="32" s="1"/>
  <c r="J11" i="32"/>
  <c r="K11" i="32" s="1"/>
  <c r="J10" i="32"/>
  <c r="K10" i="32" s="1"/>
  <c r="J9" i="32"/>
  <c r="K9" i="32" s="1"/>
  <c r="H9" i="32"/>
  <c r="I9" i="32" s="1"/>
  <c r="J8" i="32"/>
  <c r="K8" i="32" s="1"/>
  <c r="J7" i="32"/>
  <c r="K7" i="32" s="1"/>
  <c r="H7" i="32"/>
  <c r="I7" i="32" s="1"/>
  <c r="J6" i="32"/>
  <c r="K6" i="32" s="1"/>
  <c r="H6" i="32"/>
  <c r="I6" i="32" s="1"/>
  <c r="J17" i="30"/>
  <c r="K17" i="30" s="1"/>
  <c r="H17" i="30"/>
  <c r="I17" i="30" s="1"/>
  <c r="J16" i="30"/>
  <c r="K16" i="30" s="1"/>
  <c r="H16" i="30"/>
  <c r="I16" i="30" s="1"/>
  <c r="J15" i="30"/>
  <c r="K15" i="30" s="1"/>
  <c r="H15" i="30"/>
  <c r="I15" i="30" s="1"/>
  <c r="J14" i="30"/>
  <c r="K14" i="30" s="1"/>
  <c r="H14" i="30"/>
  <c r="I14" i="30" s="1"/>
  <c r="J13" i="30"/>
  <c r="K13" i="30" s="1"/>
  <c r="H13" i="30"/>
  <c r="I13" i="30" s="1"/>
  <c r="J12" i="30"/>
  <c r="K12" i="30" s="1"/>
  <c r="H12" i="30"/>
  <c r="I12" i="30" s="1"/>
  <c r="J11" i="30"/>
  <c r="K11" i="30" s="1"/>
  <c r="H11" i="30"/>
  <c r="I11" i="30" s="1"/>
  <c r="J10" i="30"/>
  <c r="K10" i="30" s="1"/>
  <c r="H10" i="30"/>
  <c r="I10" i="30" s="1"/>
  <c r="J9" i="30"/>
  <c r="K9" i="30" s="1"/>
  <c r="H9" i="30"/>
  <c r="I9" i="30" s="1"/>
  <c r="J8" i="30"/>
  <c r="K8" i="30" s="1"/>
  <c r="H8" i="30"/>
  <c r="I8" i="30" s="1"/>
  <c r="J7" i="30"/>
  <c r="K7" i="30" s="1"/>
  <c r="H7" i="30"/>
  <c r="I7" i="30" s="1"/>
  <c r="J6" i="30"/>
  <c r="K6" i="30" s="1"/>
  <c r="H6" i="30"/>
  <c r="I6" i="30" s="1"/>
  <c r="J17" i="29"/>
  <c r="K17" i="29" s="1"/>
  <c r="J16" i="29"/>
  <c r="K16" i="29" s="1"/>
  <c r="J15" i="29"/>
  <c r="K15" i="29" s="1"/>
  <c r="J14" i="29"/>
  <c r="K14" i="29" s="1"/>
  <c r="J13" i="29"/>
  <c r="K13" i="29" s="1"/>
  <c r="J12" i="29"/>
  <c r="K12" i="29" s="1"/>
  <c r="J11" i="29"/>
  <c r="K11" i="29" s="1"/>
  <c r="J10" i="29"/>
  <c r="K10" i="29" s="1"/>
  <c r="J9" i="29"/>
  <c r="K9" i="29" s="1"/>
  <c r="J8" i="29"/>
  <c r="K8" i="29" s="1"/>
  <c r="H8" i="29"/>
  <c r="I8" i="29" s="1"/>
  <c r="J7" i="29"/>
  <c r="K7" i="29" s="1"/>
  <c r="J6" i="29"/>
  <c r="K6" i="29" s="1"/>
  <c r="J17" i="28"/>
  <c r="K17" i="28" s="1"/>
  <c r="H17" i="28"/>
  <c r="I17" i="28" s="1"/>
  <c r="J16" i="28"/>
  <c r="K16" i="28" s="1"/>
  <c r="H16" i="28"/>
  <c r="I16" i="28" s="1"/>
  <c r="J15" i="28"/>
  <c r="K15" i="28" s="1"/>
  <c r="H15" i="28"/>
  <c r="I15" i="28" s="1"/>
  <c r="J14" i="28"/>
  <c r="K14" i="28" s="1"/>
  <c r="H14" i="28"/>
  <c r="I14" i="28" s="1"/>
  <c r="J13" i="28"/>
  <c r="K13" i="28" s="1"/>
  <c r="H13" i="28"/>
  <c r="I13" i="28" s="1"/>
  <c r="J12" i="28"/>
  <c r="K12" i="28" s="1"/>
  <c r="H12" i="28"/>
  <c r="I12" i="28" s="1"/>
  <c r="J11" i="28"/>
  <c r="K11" i="28" s="1"/>
  <c r="H11" i="28"/>
  <c r="I11" i="28" s="1"/>
  <c r="J10" i="28"/>
  <c r="K10" i="28" s="1"/>
  <c r="H10" i="28"/>
  <c r="I10" i="28" s="1"/>
  <c r="J9" i="28"/>
  <c r="K9" i="28" s="1"/>
  <c r="H9" i="28"/>
  <c r="I9" i="28" s="1"/>
  <c r="J8" i="28"/>
  <c r="K8" i="28" s="1"/>
  <c r="H8" i="28"/>
  <c r="I8" i="28" s="1"/>
  <c r="J7" i="28"/>
  <c r="K7" i="28" s="1"/>
  <c r="H7" i="28"/>
  <c r="I7" i="28" s="1"/>
  <c r="J6" i="28"/>
  <c r="K6" i="28" s="1"/>
  <c r="H6" i="28"/>
  <c r="I6" i="28" s="1"/>
  <c r="J17" i="26"/>
  <c r="K17" i="26" s="1"/>
  <c r="J16" i="26"/>
  <c r="K16" i="26" s="1"/>
  <c r="J15" i="26"/>
  <c r="K15" i="26" s="1"/>
  <c r="J14" i="26"/>
  <c r="K14" i="26" s="1"/>
  <c r="J13" i="26"/>
  <c r="K13" i="26" s="1"/>
  <c r="H13" i="26"/>
  <c r="I13" i="26" s="1"/>
  <c r="J12" i="26"/>
  <c r="K12" i="26" s="1"/>
  <c r="H12" i="26"/>
  <c r="I12" i="26" s="1"/>
  <c r="J11" i="26"/>
  <c r="K11" i="26" s="1"/>
  <c r="H11" i="26"/>
  <c r="I11" i="26" s="1"/>
  <c r="J10" i="26"/>
  <c r="K10" i="26" s="1"/>
  <c r="H10" i="26"/>
  <c r="I10" i="26" s="1"/>
  <c r="J9" i="26"/>
  <c r="K9" i="26" s="1"/>
  <c r="H9" i="26"/>
  <c r="I9" i="26" s="1"/>
  <c r="J8" i="26"/>
  <c r="K8" i="26" s="1"/>
  <c r="H8" i="26"/>
  <c r="I8" i="26" s="1"/>
  <c r="J7" i="26"/>
  <c r="K7" i="26" s="1"/>
  <c r="H7" i="26"/>
  <c r="I7" i="26" s="1"/>
  <c r="J6" i="26"/>
  <c r="K6" i="26" s="1"/>
  <c r="I6" i="26"/>
  <c r="J17" i="25"/>
  <c r="K17" i="25" s="1"/>
  <c r="J16" i="25"/>
  <c r="K16" i="25" s="1"/>
  <c r="J15" i="25"/>
  <c r="K15" i="25" s="1"/>
  <c r="J14" i="25"/>
  <c r="K14" i="25" s="1"/>
  <c r="H14" i="25"/>
  <c r="I14" i="25" s="1"/>
  <c r="J13" i="25"/>
  <c r="K13" i="25" s="1"/>
  <c r="H13" i="25"/>
  <c r="I13" i="25" s="1"/>
  <c r="J12" i="25"/>
  <c r="K12" i="25" s="1"/>
  <c r="H12" i="25"/>
  <c r="I12" i="25" s="1"/>
  <c r="J11" i="25"/>
  <c r="K11" i="25" s="1"/>
  <c r="H11" i="25"/>
  <c r="I11" i="25" s="1"/>
  <c r="J10" i="25"/>
  <c r="K10" i="25" s="1"/>
  <c r="H10" i="25"/>
  <c r="I10" i="25" s="1"/>
  <c r="J9" i="25"/>
  <c r="K9" i="25" s="1"/>
  <c r="J8" i="25"/>
  <c r="K8" i="25" s="1"/>
  <c r="J7" i="25"/>
  <c r="K7" i="25" s="1"/>
  <c r="J6" i="25"/>
  <c r="K6" i="25" s="1"/>
  <c r="J17" i="20"/>
  <c r="K17" i="20" s="1"/>
  <c r="H17" i="20"/>
  <c r="I17" i="20" s="1"/>
  <c r="J16" i="20"/>
  <c r="K16" i="20" s="1"/>
  <c r="H16" i="20"/>
  <c r="I16" i="20" s="1"/>
  <c r="J15" i="20"/>
  <c r="K15" i="20" s="1"/>
  <c r="H15" i="20"/>
  <c r="I15" i="20" s="1"/>
  <c r="J14" i="20"/>
  <c r="K14" i="20" s="1"/>
  <c r="H14" i="20"/>
  <c r="I14" i="20" s="1"/>
  <c r="J13" i="20"/>
  <c r="K13" i="20" s="1"/>
  <c r="H13" i="20"/>
  <c r="I13" i="20" s="1"/>
  <c r="J12" i="20"/>
  <c r="K12" i="20" s="1"/>
  <c r="H12" i="20"/>
  <c r="I12" i="20" s="1"/>
  <c r="J11" i="20"/>
  <c r="K11" i="20" s="1"/>
  <c r="H11" i="20"/>
  <c r="I11" i="20" s="1"/>
  <c r="J10" i="20"/>
  <c r="K10" i="20" s="1"/>
  <c r="H10" i="20"/>
  <c r="I10" i="20" s="1"/>
  <c r="J9" i="20"/>
  <c r="K9" i="20" s="1"/>
  <c r="H9" i="20"/>
  <c r="I9" i="20" s="1"/>
  <c r="J8" i="20"/>
  <c r="K8" i="20" s="1"/>
  <c r="H8" i="20"/>
  <c r="I8" i="20" s="1"/>
  <c r="J7" i="20"/>
  <c r="K7" i="20" s="1"/>
  <c r="H7" i="20"/>
  <c r="I7" i="20" s="1"/>
  <c r="J6" i="20"/>
  <c r="K6" i="20" s="1"/>
  <c r="H6" i="20"/>
  <c r="I6" i="20" s="1"/>
  <c r="J17" i="24"/>
  <c r="K17" i="24" s="1"/>
  <c r="H17" i="24"/>
  <c r="I17" i="24" s="1"/>
  <c r="J16" i="24"/>
  <c r="K16" i="24" s="1"/>
  <c r="H16" i="24"/>
  <c r="I16" i="24" s="1"/>
  <c r="J15" i="24"/>
  <c r="K15" i="24" s="1"/>
  <c r="J14" i="24"/>
  <c r="K14" i="24" s="1"/>
  <c r="H14" i="24"/>
  <c r="I14" i="24" s="1"/>
  <c r="J13" i="24"/>
  <c r="K13" i="24" s="1"/>
  <c r="J12" i="24"/>
  <c r="K12" i="24" s="1"/>
  <c r="H12" i="24"/>
  <c r="I12" i="24" s="1"/>
  <c r="J11" i="24"/>
  <c r="K11" i="24" s="1"/>
  <c r="H11" i="24"/>
  <c r="I11" i="24" s="1"/>
  <c r="J10" i="24"/>
  <c r="K10" i="24" s="1"/>
  <c r="H10" i="24"/>
  <c r="I10" i="24" s="1"/>
  <c r="J9" i="24"/>
  <c r="K9" i="24" s="1"/>
  <c r="H9" i="24"/>
  <c r="I9" i="24" s="1"/>
  <c r="J8" i="24"/>
  <c r="K8" i="24" s="1"/>
  <c r="H8" i="24"/>
  <c r="I8" i="24" s="1"/>
  <c r="J7" i="24"/>
  <c r="K7" i="24" s="1"/>
  <c r="H7" i="24"/>
  <c r="I7" i="24" s="1"/>
  <c r="J6" i="24"/>
  <c r="K6" i="24" s="1"/>
  <c r="H6" i="24"/>
  <c r="I6" i="24" s="1"/>
  <c r="J17" i="23"/>
  <c r="K17" i="23" s="1"/>
  <c r="H17" i="23"/>
  <c r="I17" i="23" s="1"/>
  <c r="J16" i="23"/>
  <c r="K16" i="23" s="1"/>
  <c r="H16" i="23"/>
  <c r="I16" i="23" s="1"/>
  <c r="J15" i="23"/>
  <c r="K15" i="23" s="1"/>
  <c r="H15" i="23"/>
  <c r="I15" i="23" s="1"/>
  <c r="J14" i="23"/>
  <c r="K14" i="23" s="1"/>
  <c r="H14" i="23"/>
  <c r="I14" i="23" s="1"/>
  <c r="J13" i="23"/>
  <c r="K13" i="23" s="1"/>
  <c r="H13" i="23"/>
  <c r="I13" i="23" s="1"/>
  <c r="J12" i="23"/>
  <c r="K12" i="23" s="1"/>
  <c r="H12" i="23"/>
  <c r="I12" i="23" s="1"/>
  <c r="J11" i="23"/>
  <c r="K11" i="23" s="1"/>
  <c r="H11" i="23"/>
  <c r="I11" i="23" s="1"/>
  <c r="J10" i="23"/>
  <c r="K10" i="23" s="1"/>
  <c r="H10" i="23"/>
  <c r="I10" i="23" s="1"/>
  <c r="J9" i="23"/>
  <c r="K9" i="23" s="1"/>
  <c r="H9" i="23"/>
  <c r="I9" i="23" s="1"/>
  <c r="J8" i="23"/>
  <c r="K8" i="23" s="1"/>
  <c r="H8" i="23"/>
  <c r="I8" i="23" s="1"/>
  <c r="J7" i="23"/>
  <c r="K7" i="23" s="1"/>
  <c r="H7" i="23"/>
  <c r="I7" i="23" s="1"/>
  <c r="J6" i="23"/>
  <c r="K6" i="23" s="1"/>
  <c r="I6" i="23"/>
  <c r="J17" i="18"/>
  <c r="K17" i="18" s="1"/>
  <c r="H17" i="18"/>
  <c r="I17" i="18" s="1"/>
  <c r="J16" i="18"/>
  <c r="K16" i="18" s="1"/>
  <c r="H16" i="18"/>
  <c r="I16" i="18" s="1"/>
  <c r="J15" i="18"/>
  <c r="K15" i="18" s="1"/>
  <c r="H15" i="18"/>
  <c r="I15" i="18" s="1"/>
  <c r="J14" i="18"/>
  <c r="K14" i="18" s="1"/>
  <c r="H14" i="18"/>
  <c r="I14" i="18" s="1"/>
  <c r="J13" i="18"/>
  <c r="K13" i="18" s="1"/>
  <c r="H13" i="18"/>
  <c r="I13" i="18" s="1"/>
  <c r="J12" i="18"/>
  <c r="K12" i="18" s="1"/>
  <c r="H12" i="18"/>
  <c r="I12" i="18" s="1"/>
  <c r="J11" i="18"/>
  <c r="K11" i="18" s="1"/>
  <c r="H11" i="18"/>
  <c r="I11" i="18" s="1"/>
  <c r="J10" i="18"/>
  <c r="K10" i="18" s="1"/>
  <c r="H10" i="18"/>
  <c r="I10" i="18" s="1"/>
  <c r="J9" i="18"/>
  <c r="K9" i="18" s="1"/>
  <c r="H9" i="18"/>
  <c r="I9" i="18" s="1"/>
  <c r="J8" i="18"/>
  <c r="K8" i="18" s="1"/>
  <c r="H8" i="18"/>
  <c r="I8" i="18" s="1"/>
  <c r="J7" i="18"/>
  <c r="K7" i="18" s="1"/>
  <c r="H7" i="18"/>
  <c r="I7" i="18" s="1"/>
  <c r="J6" i="18"/>
  <c r="K6" i="18" s="1"/>
  <c r="H6" i="18"/>
  <c r="I6" i="18" s="1"/>
  <c r="J17" i="13"/>
  <c r="K17" i="13" s="1"/>
  <c r="H17" i="13"/>
  <c r="I17" i="13" s="1"/>
  <c r="J16" i="13"/>
  <c r="K16" i="13" s="1"/>
  <c r="H16" i="13"/>
  <c r="I16" i="13" s="1"/>
  <c r="J15" i="13"/>
  <c r="K15" i="13" s="1"/>
  <c r="H15" i="13"/>
  <c r="I15" i="13" s="1"/>
  <c r="J14" i="13"/>
  <c r="K14" i="13" s="1"/>
  <c r="H14" i="13"/>
  <c r="I14" i="13" s="1"/>
  <c r="J13" i="13"/>
  <c r="K13" i="13" s="1"/>
  <c r="H13" i="13"/>
  <c r="I13" i="13" s="1"/>
  <c r="J12" i="13"/>
  <c r="K12" i="13" s="1"/>
  <c r="H12" i="13"/>
  <c r="I12" i="13" s="1"/>
  <c r="J11" i="13"/>
  <c r="K11" i="13" s="1"/>
  <c r="H11" i="13"/>
  <c r="I11" i="13" s="1"/>
  <c r="J10" i="13"/>
  <c r="K10" i="13" s="1"/>
  <c r="H10" i="13"/>
  <c r="I10" i="13" s="1"/>
  <c r="J9" i="13"/>
  <c r="K9" i="13" s="1"/>
  <c r="H9" i="13"/>
  <c r="I9" i="13" s="1"/>
  <c r="J8" i="13"/>
  <c r="K8" i="13" s="1"/>
  <c r="H8" i="13"/>
  <c r="I8" i="13" s="1"/>
  <c r="J7" i="13"/>
  <c r="K7" i="13" s="1"/>
  <c r="H7" i="13"/>
  <c r="I7" i="13" s="1"/>
  <c r="J6" i="13"/>
  <c r="K6" i="13" s="1"/>
  <c r="H6" i="13"/>
  <c r="I6" i="13" s="1"/>
  <c r="J17" i="14"/>
  <c r="K17" i="14" s="1"/>
  <c r="H17" i="14"/>
  <c r="I17" i="14" s="1"/>
  <c r="J16" i="14"/>
  <c r="K16" i="14" s="1"/>
  <c r="H16" i="14"/>
  <c r="I16" i="14" s="1"/>
  <c r="J15" i="14"/>
  <c r="K15" i="14" s="1"/>
  <c r="H15" i="14"/>
  <c r="I15" i="14" s="1"/>
  <c r="J14" i="14"/>
  <c r="K14" i="14" s="1"/>
  <c r="H14" i="14"/>
  <c r="I14" i="14" s="1"/>
  <c r="J13" i="14"/>
  <c r="K13" i="14" s="1"/>
  <c r="H13" i="14"/>
  <c r="I13" i="14" s="1"/>
  <c r="J12" i="14"/>
  <c r="K12" i="14" s="1"/>
  <c r="H12" i="14"/>
  <c r="I12" i="14" s="1"/>
  <c r="J11" i="14"/>
  <c r="K11" i="14" s="1"/>
  <c r="H11" i="14"/>
  <c r="I11" i="14" s="1"/>
  <c r="J10" i="14"/>
  <c r="K10" i="14" s="1"/>
  <c r="H10" i="14"/>
  <c r="I10" i="14" s="1"/>
  <c r="J9" i="14"/>
  <c r="K9" i="14" s="1"/>
  <c r="H9" i="14"/>
  <c r="I9" i="14" s="1"/>
  <c r="J8" i="14"/>
  <c r="K8" i="14" s="1"/>
  <c r="H8" i="14"/>
  <c r="I8" i="14" s="1"/>
  <c r="J7" i="14"/>
  <c r="K7" i="14" s="1"/>
  <c r="H7" i="14"/>
  <c r="I7" i="14" s="1"/>
  <c r="J6" i="14"/>
  <c r="K6" i="14" s="1"/>
  <c r="H6" i="14"/>
  <c r="I6" i="14" s="1"/>
  <c r="J9" i="12"/>
  <c r="K9" i="12" s="1"/>
  <c r="H9" i="12"/>
  <c r="I9" i="12" s="1"/>
  <c r="J17" i="12"/>
  <c r="K17" i="12" s="1"/>
  <c r="J16" i="12"/>
  <c r="K16" i="12" s="1"/>
  <c r="J15" i="12"/>
  <c r="K15" i="12" s="1"/>
  <c r="H15" i="12"/>
  <c r="I15" i="12" s="1"/>
  <c r="J14" i="12"/>
  <c r="K14" i="12" s="1"/>
  <c r="J13" i="12"/>
  <c r="K13" i="12" s="1"/>
  <c r="J12" i="12"/>
  <c r="K12" i="12" s="1"/>
  <c r="H12" i="12"/>
  <c r="I12" i="12" s="1"/>
  <c r="J11" i="12"/>
  <c r="K11" i="12" s="1"/>
  <c r="H11" i="12"/>
  <c r="I11" i="12" s="1"/>
  <c r="J10" i="12"/>
  <c r="K10" i="12" s="1"/>
  <c r="H10" i="12"/>
  <c r="I10" i="12" s="1"/>
  <c r="J8" i="12"/>
  <c r="K8" i="12" s="1"/>
  <c r="H8" i="12"/>
  <c r="I8" i="12" s="1"/>
  <c r="J7" i="12"/>
  <c r="K7" i="12" s="1"/>
  <c r="H7" i="12"/>
  <c r="I7" i="12" s="1"/>
  <c r="J6" i="12"/>
  <c r="K6" i="12" s="1"/>
  <c r="H6" i="12"/>
  <c r="I6" i="12" s="1"/>
  <c r="H6" i="22"/>
  <c r="H7" i="22"/>
  <c r="H13" i="22"/>
  <c r="I13" i="22" s="1"/>
  <c r="J12" i="22"/>
  <c r="J11" i="22"/>
  <c r="J10" i="22"/>
  <c r="K10" i="22"/>
  <c r="J7" i="22"/>
  <c r="K7" i="22" s="1"/>
  <c r="J8" i="22"/>
  <c r="K8" i="22" s="1"/>
  <c r="J9" i="22"/>
  <c r="K9" i="22" s="1"/>
  <c r="K11" i="22"/>
  <c r="K12" i="22"/>
  <c r="J13" i="22"/>
  <c r="K13" i="22" s="1"/>
  <c r="J14" i="22"/>
  <c r="K14" i="22" s="1"/>
  <c r="J15" i="22"/>
  <c r="K15" i="22" s="1"/>
  <c r="J16" i="22"/>
  <c r="K16" i="22" s="1"/>
  <c r="J17" i="22"/>
  <c r="K17" i="22" s="1"/>
  <c r="J6" i="22"/>
  <c r="K6" i="22" s="1"/>
  <c r="I7" i="22"/>
  <c r="I6" i="22"/>
  <c r="H8" i="22"/>
  <c r="I8" i="22" s="1"/>
  <c r="H9" i="22"/>
  <c r="I9" i="22" s="1"/>
  <c r="H10" i="22"/>
  <c r="I10" i="22" s="1"/>
  <c r="H11" i="22"/>
  <c r="I11" i="22" s="1"/>
  <c r="H12" i="22"/>
  <c r="I12" i="22" s="1"/>
  <c r="H14" i="22"/>
  <c r="I14" i="22" s="1"/>
  <c r="H15" i="22"/>
  <c r="I15" i="22" s="1"/>
  <c r="H16" i="22"/>
  <c r="I16" i="22" s="1"/>
  <c r="H17" i="22"/>
  <c r="I17" i="22" s="1"/>
  <c r="C19" i="14"/>
  <c r="E19" i="32"/>
  <c r="D19" i="32"/>
  <c r="B19" i="32"/>
  <c r="G17" i="32"/>
  <c r="F17" i="32"/>
  <c r="F16" i="32"/>
  <c r="G15" i="32"/>
  <c r="F15" i="32"/>
  <c r="G14" i="32"/>
  <c r="F14" i="32"/>
  <c r="G13" i="32"/>
  <c r="F13" i="32"/>
  <c r="G12" i="32"/>
  <c r="F12" i="32"/>
  <c r="G11" i="32"/>
  <c r="F11" i="32"/>
  <c r="F10" i="32"/>
  <c r="G9" i="32"/>
  <c r="F9" i="32"/>
  <c r="G8" i="32"/>
  <c r="F8" i="32"/>
  <c r="G7" i="32"/>
  <c r="F7" i="32"/>
  <c r="G6" i="32"/>
  <c r="F6" i="32"/>
  <c r="E19" i="30"/>
  <c r="D19" i="30"/>
  <c r="C19" i="30"/>
  <c r="B19" i="30"/>
  <c r="G17" i="30"/>
  <c r="F17" i="30"/>
  <c r="G16" i="30"/>
  <c r="F16" i="30"/>
  <c r="G15" i="30"/>
  <c r="F15" i="30"/>
  <c r="G14" i="30"/>
  <c r="F14" i="30"/>
  <c r="G13" i="30"/>
  <c r="F13" i="30"/>
  <c r="G12" i="30"/>
  <c r="F12" i="30"/>
  <c r="G11" i="30"/>
  <c r="F11" i="30"/>
  <c r="G10" i="30"/>
  <c r="F10" i="30"/>
  <c r="G9" i="30"/>
  <c r="F9" i="30"/>
  <c r="G8" i="30"/>
  <c r="F8" i="30"/>
  <c r="G7" i="30"/>
  <c r="F7" i="30"/>
  <c r="G6" i="30"/>
  <c r="F6" i="30"/>
  <c r="E19" i="29"/>
  <c r="D19" i="29"/>
  <c r="B19" i="29"/>
  <c r="F4" i="4" s="1"/>
  <c r="G17" i="29"/>
  <c r="F17" i="29"/>
  <c r="G16" i="29"/>
  <c r="F16" i="29"/>
  <c r="G15" i="29"/>
  <c r="F15" i="29"/>
  <c r="F14" i="29"/>
  <c r="G13" i="29"/>
  <c r="F13" i="29"/>
  <c r="G12" i="29"/>
  <c r="F12" i="29"/>
  <c r="G11" i="29"/>
  <c r="F11" i="29"/>
  <c r="F10" i="29"/>
  <c r="F9" i="29"/>
  <c r="G8" i="29"/>
  <c r="F8" i="29"/>
  <c r="F7" i="29"/>
  <c r="G6" i="29"/>
  <c r="F6" i="29"/>
  <c r="E19" i="28"/>
  <c r="D19" i="28"/>
  <c r="C19" i="28"/>
  <c r="B19" i="28"/>
  <c r="G17" i="28"/>
  <c r="F17" i="28"/>
  <c r="G16" i="28"/>
  <c r="F16" i="28"/>
  <c r="G15" i="28"/>
  <c r="F15" i="28"/>
  <c r="G14" i="28"/>
  <c r="F14" i="28"/>
  <c r="G13" i="28"/>
  <c r="F13" i="28"/>
  <c r="G12" i="28"/>
  <c r="F12" i="28"/>
  <c r="G11" i="28"/>
  <c r="F11" i="28"/>
  <c r="G10" i="28"/>
  <c r="F10" i="28"/>
  <c r="G9" i="28"/>
  <c r="F9" i="28"/>
  <c r="G8" i="28"/>
  <c r="F8" i="28"/>
  <c r="G7" i="28"/>
  <c r="F7" i="28"/>
  <c r="G6" i="28"/>
  <c r="F6" i="28"/>
  <c r="E19" i="26"/>
  <c r="D19" i="26"/>
  <c r="B19" i="26"/>
  <c r="J4" i="4" s="1"/>
  <c r="F17" i="26"/>
  <c r="F16" i="26"/>
  <c r="G15" i="26"/>
  <c r="F15" i="26"/>
  <c r="G14" i="26"/>
  <c r="F14" i="26"/>
  <c r="F13" i="26"/>
  <c r="G12" i="26"/>
  <c r="F12" i="26"/>
  <c r="G11" i="26"/>
  <c r="F11" i="26"/>
  <c r="G10" i="26"/>
  <c r="F10" i="26"/>
  <c r="G9" i="26"/>
  <c r="F9" i="26"/>
  <c r="G8" i="26"/>
  <c r="F8" i="26"/>
  <c r="G7" i="26"/>
  <c r="F7" i="26"/>
  <c r="G6" i="26"/>
  <c r="F6" i="26"/>
  <c r="E19" i="25"/>
  <c r="D19" i="25"/>
  <c r="C19" i="25"/>
  <c r="G17" i="25"/>
  <c r="F17" i="25"/>
  <c r="G16" i="25"/>
  <c r="F16" i="25"/>
  <c r="G15" i="25"/>
  <c r="F15" i="25"/>
  <c r="F14" i="25"/>
  <c r="F13" i="25"/>
  <c r="G12" i="25"/>
  <c r="F12" i="25"/>
  <c r="G11" i="25"/>
  <c r="F11" i="25"/>
  <c r="G10" i="25"/>
  <c r="F10" i="25"/>
  <c r="G9" i="25"/>
  <c r="F9" i="25"/>
  <c r="G8" i="25"/>
  <c r="F8" i="25"/>
  <c r="G7" i="25"/>
  <c r="F7" i="25"/>
  <c r="G6" i="25"/>
  <c r="F6" i="25"/>
  <c r="E19" i="24"/>
  <c r="D19" i="24"/>
  <c r="G17" i="24"/>
  <c r="F17" i="24"/>
  <c r="G16" i="24"/>
  <c r="F16" i="24"/>
  <c r="G15" i="24"/>
  <c r="F15" i="24"/>
  <c r="G14" i="24"/>
  <c r="F14" i="24"/>
  <c r="G13" i="24"/>
  <c r="F13" i="24"/>
  <c r="G12" i="24"/>
  <c r="F12" i="24"/>
  <c r="G11" i="24"/>
  <c r="F11" i="24"/>
  <c r="G10" i="24"/>
  <c r="F10" i="24"/>
  <c r="G9" i="24"/>
  <c r="F9" i="24"/>
  <c r="G8" i="24"/>
  <c r="F8" i="24"/>
  <c r="G7" i="24"/>
  <c r="F7" i="24"/>
  <c r="G6" i="24"/>
  <c r="F6" i="24"/>
  <c r="E19" i="23"/>
  <c r="D19" i="23"/>
  <c r="C19" i="23"/>
  <c r="B19" i="23"/>
  <c r="N4" i="4" s="1"/>
  <c r="G17" i="23"/>
  <c r="F17" i="23"/>
  <c r="G16" i="23"/>
  <c r="F16" i="23"/>
  <c r="G15" i="23"/>
  <c r="F15" i="23"/>
  <c r="G14" i="23"/>
  <c r="F14" i="23"/>
  <c r="G13" i="23"/>
  <c r="F13" i="23"/>
  <c r="G12" i="23"/>
  <c r="F12" i="23"/>
  <c r="G11" i="23"/>
  <c r="F11" i="23"/>
  <c r="G10" i="23"/>
  <c r="F10" i="23"/>
  <c r="G9" i="23"/>
  <c r="F9" i="23"/>
  <c r="G8" i="23"/>
  <c r="F8" i="23"/>
  <c r="G7" i="23"/>
  <c r="F7" i="23"/>
  <c r="G6" i="23"/>
  <c r="F6" i="23"/>
  <c r="G11" i="14"/>
  <c r="E19" i="22"/>
  <c r="D19" i="22"/>
  <c r="C19" i="22"/>
  <c r="E25" i="22" s="1"/>
  <c r="B19" i="22"/>
  <c r="G17" i="22"/>
  <c r="F17" i="22"/>
  <c r="G16" i="22"/>
  <c r="F16" i="22"/>
  <c r="G15" i="22"/>
  <c r="F15" i="22"/>
  <c r="G14" i="22"/>
  <c r="F14" i="22"/>
  <c r="G13" i="22"/>
  <c r="F13" i="22"/>
  <c r="G12" i="22"/>
  <c r="F12" i="22"/>
  <c r="G11" i="22"/>
  <c r="F11" i="22"/>
  <c r="G10" i="22"/>
  <c r="F10" i="22"/>
  <c r="G9" i="22"/>
  <c r="F9" i="22"/>
  <c r="G8" i="22"/>
  <c r="F8" i="22"/>
  <c r="G7" i="22"/>
  <c r="F7" i="22"/>
  <c r="G6" i="22"/>
  <c r="F6" i="22"/>
  <c r="G10" i="12"/>
  <c r="G12" i="20"/>
  <c r="G17" i="20"/>
  <c r="G16" i="20"/>
  <c r="G15" i="20"/>
  <c r="G14" i="20"/>
  <c r="G13" i="20"/>
  <c r="G11" i="20"/>
  <c r="G10" i="20"/>
  <c r="G9" i="20"/>
  <c r="G8" i="20"/>
  <c r="G7" i="20"/>
  <c r="G6" i="20"/>
  <c r="G17" i="18"/>
  <c r="G16" i="18"/>
  <c r="G15" i="18"/>
  <c r="G14" i="18"/>
  <c r="G13" i="18"/>
  <c r="G12" i="18"/>
  <c r="G11" i="18"/>
  <c r="G10" i="18"/>
  <c r="G9" i="18"/>
  <c r="G8" i="18"/>
  <c r="G7" i="18"/>
  <c r="G6" i="18"/>
  <c r="G17" i="13"/>
  <c r="G16" i="13"/>
  <c r="G15" i="13"/>
  <c r="G14" i="13"/>
  <c r="G13" i="13"/>
  <c r="G12" i="13"/>
  <c r="G11" i="13"/>
  <c r="G10" i="13"/>
  <c r="G9" i="13"/>
  <c r="G8" i="13"/>
  <c r="G7" i="13"/>
  <c r="G6" i="13"/>
  <c r="G17" i="12"/>
  <c r="G13" i="12"/>
  <c r="G12" i="12"/>
  <c r="G9" i="12"/>
  <c r="G8" i="12"/>
  <c r="G7" i="12"/>
  <c r="G6" i="12"/>
  <c r="G12" i="14"/>
  <c r="G13" i="14"/>
  <c r="G14" i="14"/>
  <c r="G15" i="14"/>
  <c r="G16" i="14"/>
  <c r="G17" i="14"/>
  <c r="G9" i="14"/>
  <c r="G8" i="14"/>
  <c r="G7" i="14"/>
  <c r="G10" i="14"/>
  <c r="G6" i="14"/>
  <c r="F11" i="14"/>
  <c r="F12" i="20"/>
  <c r="F10" i="18"/>
  <c r="F12" i="13"/>
  <c r="F11" i="12"/>
  <c r="F10" i="12"/>
  <c r="F6" i="13"/>
  <c r="F13" i="20"/>
  <c r="F10" i="13"/>
  <c r="F12" i="14"/>
  <c r="F6" i="14"/>
  <c r="F17" i="12"/>
  <c r="F16" i="12"/>
  <c r="F15" i="12"/>
  <c r="F14" i="12"/>
  <c r="F13" i="12"/>
  <c r="F12" i="12"/>
  <c r="F9" i="12"/>
  <c r="F8" i="12"/>
  <c r="F6" i="12"/>
  <c r="F8" i="14"/>
  <c r="F9" i="14"/>
  <c r="F10" i="14"/>
  <c r="F13" i="14"/>
  <c r="F14" i="14"/>
  <c r="F15" i="14"/>
  <c r="F16" i="14"/>
  <c r="F17" i="14"/>
  <c r="F7" i="12"/>
  <c r="E19" i="20"/>
  <c r="D19" i="20"/>
  <c r="C19" i="20"/>
  <c r="B19" i="20"/>
  <c r="F17" i="20"/>
  <c r="F16" i="20"/>
  <c r="F15" i="20"/>
  <c r="F14" i="20"/>
  <c r="F11" i="20"/>
  <c r="F10" i="20"/>
  <c r="F9" i="20"/>
  <c r="F8" i="20"/>
  <c r="F7" i="20"/>
  <c r="F6" i="20"/>
  <c r="E19" i="18"/>
  <c r="D19" i="18"/>
  <c r="C19" i="18"/>
  <c r="E25" i="18"/>
  <c r="B19" i="18"/>
  <c r="F17" i="18"/>
  <c r="F16" i="18"/>
  <c r="F15" i="18"/>
  <c r="F14" i="18"/>
  <c r="F13" i="18"/>
  <c r="F12" i="18"/>
  <c r="F11" i="18"/>
  <c r="F9" i="18"/>
  <c r="F8" i="18"/>
  <c r="F7" i="18"/>
  <c r="F6" i="18"/>
  <c r="AR76" i="15"/>
  <c r="AS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AG76" i="15"/>
  <c r="AH76" i="15"/>
  <c r="AI76" i="15"/>
  <c r="AJ76" i="15"/>
  <c r="AK76" i="15"/>
  <c r="AL76" i="15"/>
  <c r="AM76" i="15"/>
  <c r="AN76" i="15"/>
  <c r="AO76" i="15"/>
  <c r="AP76" i="15"/>
  <c r="AQ76" i="15"/>
  <c r="H76" i="15"/>
  <c r="E22" i="18"/>
  <c r="E22" i="20"/>
  <c r="E25" i="20"/>
  <c r="E28" i="20"/>
  <c r="F19" i="20"/>
  <c r="E28" i="18"/>
  <c r="F19" i="18"/>
  <c r="E19" i="13"/>
  <c r="D19" i="13"/>
  <c r="C19" i="13"/>
  <c r="B19" i="13"/>
  <c r="F17" i="13"/>
  <c r="F16" i="13"/>
  <c r="F15" i="13"/>
  <c r="F14" i="13"/>
  <c r="F13" i="13"/>
  <c r="F11" i="13"/>
  <c r="F9" i="13"/>
  <c r="F8" i="13"/>
  <c r="F7" i="13"/>
  <c r="E19" i="14"/>
  <c r="D19" i="14"/>
  <c r="E25" i="14" s="1"/>
  <c r="F7" i="14"/>
  <c r="E25" i="13"/>
  <c r="E22" i="13"/>
  <c r="E28" i="13"/>
  <c r="E28" i="14"/>
  <c r="F19" i="13"/>
  <c r="F19" i="14"/>
  <c r="B19" i="12"/>
  <c r="G4" i="4" s="1"/>
  <c r="D19" i="12"/>
  <c r="E19" i="12"/>
  <c r="C19" i="12"/>
  <c r="E25" i="12" s="1"/>
  <c r="G6" i="4" s="1"/>
  <c r="C19" i="67" l="1"/>
  <c r="H17" i="67"/>
  <c r="I17" i="67" s="1"/>
  <c r="H16" i="67"/>
  <c r="I16" i="67" s="1"/>
  <c r="H15" i="67"/>
  <c r="I15" i="67" s="1"/>
  <c r="H14" i="67"/>
  <c r="I14" i="67" s="1"/>
  <c r="H13" i="67"/>
  <c r="I13" i="67" s="1"/>
  <c r="H12" i="67"/>
  <c r="I12" i="67" s="1"/>
  <c r="H11" i="67"/>
  <c r="I11" i="67" s="1"/>
  <c r="H10" i="67"/>
  <c r="I10" i="67" s="1"/>
  <c r="I9" i="67"/>
  <c r="I8" i="67"/>
  <c r="I7" i="67"/>
  <c r="G6" i="67"/>
  <c r="E25" i="67"/>
  <c r="E22" i="67"/>
  <c r="F19" i="67"/>
  <c r="E28" i="67"/>
  <c r="C19" i="66"/>
  <c r="H17" i="66"/>
  <c r="I17" i="66" s="1"/>
  <c r="H16" i="66"/>
  <c r="I16" i="66" s="1"/>
  <c r="H15" i="66"/>
  <c r="I15" i="66" s="1"/>
  <c r="H14" i="66"/>
  <c r="I14" i="66" s="1"/>
  <c r="H13" i="66"/>
  <c r="I13" i="66" s="1"/>
  <c r="H12" i="66"/>
  <c r="I12" i="66" s="1"/>
  <c r="H11" i="66"/>
  <c r="I11" i="66" s="1"/>
  <c r="H10" i="66"/>
  <c r="I10" i="66" s="1"/>
  <c r="I9" i="66"/>
  <c r="I8" i="66"/>
  <c r="I7" i="66"/>
  <c r="G6" i="66"/>
  <c r="E25" i="66"/>
  <c r="E22" i="66"/>
  <c r="F19" i="66"/>
  <c r="E28" i="66"/>
  <c r="C19" i="65"/>
  <c r="H17" i="65"/>
  <c r="I17" i="65" s="1"/>
  <c r="H16" i="65"/>
  <c r="I16" i="65" s="1"/>
  <c r="H15" i="65"/>
  <c r="I15" i="65" s="1"/>
  <c r="H14" i="65"/>
  <c r="I14" i="65" s="1"/>
  <c r="H13" i="65"/>
  <c r="I13" i="65" s="1"/>
  <c r="H12" i="65"/>
  <c r="I12" i="65" s="1"/>
  <c r="H11" i="65"/>
  <c r="I11" i="65" s="1"/>
  <c r="H10" i="65"/>
  <c r="I10" i="65" s="1"/>
  <c r="H9" i="65"/>
  <c r="I9" i="65" s="1"/>
  <c r="H8" i="65"/>
  <c r="I8" i="65" s="1"/>
  <c r="I7" i="65"/>
  <c r="G6" i="65"/>
  <c r="E25" i="65"/>
  <c r="E22" i="65"/>
  <c r="F19" i="65"/>
  <c r="E28" i="65"/>
  <c r="C19" i="64"/>
  <c r="H17" i="64"/>
  <c r="I17" i="64" s="1"/>
  <c r="H16" i="64"/>
  <c r="I16" i="64" s="1"/>
  <c r="H15" i="64"/>
  <c r="I15" i="64" s="1"/>
  <c r="H14" i="64"/>
  <c r="I14" i="64" s="1"/>
  <c r="H13" i="64"/>
  <c r="I13" i="64" s="1"/>
  <c r="H12" i="64"/>
  <c r="I12" i="64" s="1"/>
  <c r="H11" i="64"/>
  <c r="I11" i="64" s="1"/>
  <c r="H10" i="64"/>
  <c r="I10" i="64" s="1"/>
  <c r="H9" i="64"/>
  <c r="I9" i="64" s="1"/>
  <c r="H8" i="64"/>
  <c r="I8" i="64" s="1"/>
  <c r="G8" i="64"/>
  <c r="E25" i="64"/>
  <c r="E22" i="64"/>
  <c r="F19" i="64"/>
  <c r="E28" i="64"/>
  <c r="C19" i="63"/>
  <c r="H17" i="63"/>
  <c r="I17" i="63" s="1"/>
  <c r="H16" i="63"/>
  <c r="I16" i="63" s="1"/>
  <c r="H15" i="63"/>
  <c r="I15" i="63" s="1"/>
  <c r="H14" i="63"/>
  <c r="I14" i="63" s="1"/>
  <c r="H13" i="63"/>
  <c r="I13" i="63" s="1"/>
  <c r="H12" i="63"/>
  <c r="I12" i="63" s="1"/>
  <c r="H11" i="63"/>
  <c r="I11" i="63" s="1"/>
  <c r="H10" i="63"/>
  <c r="I10" i="63" s="1"/>
  <c r="H9" i="63"/>
  <c r="I9" i="63" s="1"/>
  <c r="I8" i="63"/>
  <c r="I7" i="63"/>
  <c r="G6" i="63"/>
  <c r="E25" i="63"/>
  <c r="E22" i="63"/>
  <c r="F19" i="63"/>
  <c r="E28" i="63"/>
  <c r="C19" i="62"/>
  <c r="H17" i="62"/>
  <c r="I17" i="62" s="1"/>
  <c r="H16" i="62"/>
  <c r="I16" i="62" s="1"/>
  <c r="H15" i="62"/>
  <c r="I15" i="62" s="1"/>
  <c r="H14" i="62"/>
  <c r="I14" i="62" s="1"/>
  <c r="H13" i="62"/>
  <c r="I13" i="62" s="1"/>
  <c r="H12" i="62"/>
  <c r="I12" i="62" s="1"/>
  <c r="H11" i="62"/>
  <c r="I11" i="62" s="1"/>
  <c r="H10" i="62"/>
  <c r="I10" i="62" s="1"/>
  <c r="H9" i="62"/>
  <c r="I9" i="62" s="1"/>
  <c r="G9" i="62"/>
  <c r="E25" i="62"/>
  <c r="E22" i="62"/>
  <c r="F19" i="62"/>
  <c r="E28" i="62"/>
  <c r="C19" i="61"/>
  <c r="H17" i="61"/>
  <c r="I17" i="61" s="1"/>
  <c r="H16" i="61"/>
  <c r="I16" i="61" s="1"/>
  <c r="H15" i="61"/>
  <c r="I15" i="61" s="1"/>
  <c r="H14" i="61"/>
  <c r="I14" i="61" s="1"/>
  <c r="H13" i="61"/>
  <c r="I13" i="61" s="1"/>
  <c r="H12" i="61"/>
  <c r="I12" i="61" s="1"/>
  <c r="H11" i="61"/>
  <c r="I11" i="61" s="1"/>
  <c r="H10" i="61"/>
  <c r="I10" i="61" s="1"/>
  <c r="H9" i="61"/>
  <c r="I9" i="61" s="1"/>
  <c r="H8" i="61"/>
  <c r="I8" i="61" s="1"/>
  <c r="I7" i="61"/>
  <c r="G6" i="61"/>
  <c r="E25" i="61"/>
  <c r="E22" i="61"/>
  <c r="F19" i="61"/>
  <c r="E28" i="61"/>
  <c r="C19" i="60"/>
  <c r="H17" i="60"/>
  <c r="I17" i="60" s="1"/>
  <c r="H16" i="60"/>
  <c r="I16" i="60" s="1"/>
  <c r="H15" i="60"/>
  <c r="I15" i="60" s="1"/>
  <c r="H14" i="60"/>
  <c r="I14" i="60" s="1"/>
  <c r="H13" i="60"/>
  <c r="I13" i="60" s="1"/>
  <c r="H12" i="60"/>
  <c r="I12" i="60" s="1"/>
  <c r="H11" i="60"/>
  <c r="I11" i="60" s="1"/>
  <c r="H10" i="60"/>
  <c r="I10" i="60" s="1"/>
  <c r="H9" i="60"/>
  <c r="I9" i="60" s="1"/>
  <c r="H8" i="60"/>
  <c r="I8" i="60" s="1"/>
  <c r="H7" i="60"/>
  <c r="I7" i="60" s="1"/>
  <c r="G6" i="60"/>
  <c r="E25" i="60"/>
  <c r="E22" i="60"/>
  <c r="F19" i="60"/>
  <c r="E28" i="60"/>
  <c r="C19" i="59"/>
  <c r="H17" i="59"/>
  <c r="I17" i="59" s="1"/>
  <c r="H16" i="59"/>
  <c r="I16" i="59" s="1"/>
  <c r="H15" i="59"/>
  <c r="I15" i="59" s="1"/>
  <c r="H14" i="59"/>
  <c r="I14" i="59" s="1"/>
  <c r="H13" i="59"/>
  <c r="I13" i="59" s="1"/>
  <c r="H12" i="59"/>
  <c r="I12" i="59" s="1"/>
  <c r="H11" i="59"/>
  <c r="I11" i="59" s="1"/>
  <c r="H10" i="59"/>
  <c r="I10" i="59" s="1"/>
  <c r="H9" i="59"/>
  <c r="I9" i="59" s="1"/>
  <c r="H8" i="59"/>
  <c r="I8" i="59" s="1"/>
  <c r="H7" i="59"/>
  <c r="I7" i="59" s="1"/>
  <c r="G6" i="59"/>
  <c r="E25" i="59"/>
  <c r="E22" i="59"/>
  <c r="F19" i="59"/>
  <c r="E28" i="59"/>
  <c r="C19" i="58"/>
  <c r="H17" i="58"/>
  <c r="I17" i="58" s="1"/>
  <c r="H16" i="58"/>
  <c r="I16" i="58" s="1"/>
  <c r="H15" i="58"/>
  <c r="I15" i="58" s="1"/>
  <c r="H14" i="58"/>
  <c r="I14" i="58" s="1"/>
  <c r="H13" i="58"/>
  <c r="I13" i="58" s="1"/>
  <c r="H12" i="58"/>
  <c r="I12" i="58" s="1"/>
  <c r="H11" i="58"/>
  <c r="I11" i="58" s="1"/>
  <c r="H10" i="58"/>
  <c r="I10" i="58" s="1"/>
  <c r="H9" i="58"/>
  <c r="I9" i="58" s="1"/>
  <c r="H8" i="58"/>
  <c r="I8" i="58" s="1"/>
  <c r="G8" i="58"/>
  <c r="E25" i="58"/>
  <c r="E22" i="58"/>
  <c r="F19" i="58"/>
  <c r="E28" i="58"/>
  <c r="C19" i="57"/>
  <c r="H17" i="57"/>
  <c r="I17" i="57" s="1"/>
  <c r="H16" i="57"/>
  <c r="I16" i="57" s="1"/>
  <c r="H15" i="57"/>
  <c r="I15" i="57" s="1"/>
  <c r="H14" i="57"/>
  <c r="I14" i="57" s="1"/>
  <c r="H13" i="57"/>
  <c r="I13" i="57" s="1"/>
  <c r="H12" i="57"/>
  <c r="I12" i="57" s="1"/>
  <c r="H11" i="57"/>
  <c r="I11" i="57" s="1"/>
  <c r="H10" i="57"/>
  <c r="I10" i="57" s="1"/>
  <c r="H9" i="57"/>
  <c r="I9" i="57" s="1"/>
  <c r="H8" i="57"/>
  <c r="I8" i="57" s="1"/>
  <c r="H7" i="57"/>
  <c r="I7" i="57" s="1"/>
  <c r="G6" i="57"/>
  <c r="E25" i="57"/>
  <c r="E22" i="57"/>
  <c r="F19" i="57"/>
  <c r="E28" i="57"/>
  <c r="C19" i="56"/>
  <c r="H17" i="56"/>
  <c r="I17" i="56" s="1"/>
  <c r="H16" i="56"/>
  <c r="I16" i="56" s="1"/>
  <c r="H15" i="56"/>
  <c r="I15" i="56" s="1"/>
  <c r="H14" i="56"/>
  <c r="I14" i="56" s="1"/>
  <c r="H13" i="56"/>
  <c r="I13" i="56" s="1"/>
  <c r="H12" i="56"/>
  <c r="I12" i="56" s="1"/>
  <c r="H11" i="56"/>
  <c r="I11" i="56" s="1"/>
  <c r="H10" i="56"/>
  <c r="I10" i="56" s="1"/>
  <c r="H9" i="56"/>
  <c r="I9" i="56" s="1"/>
  <c r="H8" i="56"/>
  <c r="I8" i="56" s="1"/>
  <c r="H7" i="56"/>
  <c r="I7" i="56" s="1"/>
  <c r="G7" i="56"/>
  <c r="E25" i="56"/>
  <c r="E22" i="56"/>
  <c r="F19" i="56"/>
  <c r="E28" i="56"/>
  <c r="C19" i="29"/>
  <c r="C19" i="53"/>
  <c r="H17" i="53"/>
  <c r="I17" i="53" s="1"/>
  <c r="H16" i="53"/>
  <c r="I16" i="53" s="1"/>
  <c r="H15" i="53"/>
  <c r="I15" i="53" s="1"/>
  <c r="H14" i="53"/>
  <c r="I14" i="53" s="1"/>
  <c r="H13" i="53"/>
  <c r="I13" i="53" s="1"/>
  <c r="H12" i="53"/>
  <c r="I12" i="53" s="1"/>
  <c r="H11" i="53"/>
  <c r="I11" i="53" s="1"/>
  <c r="H10" i="53"/>
  <c r="I10" i="53" s="1"/>
  <c r="H9" i="53"/>
  <c r="I9" i="53" s="1"/>
  <c r="H8" i="53"/>
  <c r="I8" i="53" s="1"/>
  <c r="H7" i="53"/>
  <c r="I7" i="53" s="1"/>
  <c r="G6" i="53"/>
  <c r="E25" i="53"/>
  <c r="E22" i="53"/>
  <c r="F19" i="53"/>
  <c r="E28" i="53"/>
  <c r="C19" i="52"/>
  <c r="H17" i="52"/>
  <c r="I17" i="52" s="1"/>
  <c r="H16" i="52"/>
  <c r="I16" i="52" s="1"/>
  <c r="H15" i="52"/>
  <c r="I15" i="52" s="1"/>
  <c r="H14" i="52"/>
  <c r="I14" i="52" s="1"/>
  <c r="H13" i="52"/>
  <c r="I13" i="52" s="1"/>
  <c r="H12" i="52"/>
  <c r="I12" i="52" s="1"/>
  <c r="H11" i="52"/>
  <c r="I11" i="52" s="1"/>
  <c r="H10" i="52"/>
  <c r="I10" i="52" s="1"/>
  <c r="H9" i="52"/>
  <c r="I9" i="52" s="1"/>
  <c r="H8" i="52"/>
  <c r="I8" i="52" s="1"/>
  <c r="H7" i="52"/>
  <c r="I7" i="52" s="1"/>
  <c r="G6" i="52"/>
  <c r="E25" i="52"/>
  <c r="E22" i="52"/>
  <c r="F19" i="52"/>
  <c r="E28" i="52"/>
  <c r="C19" i="51"/>
  <c r="H17" i="51"/>
  <c r="I17" i="51" s="1"/>
  <c r="H16" i="51"/>
  <c r="I16" i="51" s="1"/>
  <c r="H15" i="51"/>
  <c r="I15" i="51" s="1"/>
  <c r="H14" i="51"/>
  <c r="I14" i="51" s="1"/>
  <c r="H13" i="51"/>
  <c r="I13" i="51" s="1"/>
  <c r="H12" i="51"/>
  <c r="I12" i="51" s="1"/>
  <c r="H11" i="51"/>
  <c r="I11" i="51" s="1"/>
  <c r="H10" i="51"/>
  <c r="I10" i="51" s="1"/>
  <c r="H9" i="51"/>
  <c r="I9" i="51" s="1"/>
  <c r="H8" i="51"/>
  <c r="I8" i="51" s="1"/>
  <c r="H7" i="51"/>
  <c r="I7" i="51" s="1"/>
  <c r="G6" i="51"/>
  <c r="E25" i="51"/>
  <c r="E22" i="51"/>
  <c r="F19" i="51"/>
  <c r="E28" i="51"/>
  <c r="C19" i="50"/>
  <c r="H17" i="50"/>
  <c r="I17" i="50" s="1"/>
  <c r="H16" i="50"/>
  <c r="I16" i="50" s="1"/>
  <c r="H15" i="50"/>
  <c r="I15" i="50" s="1"/>
  <c r="H14" i="50"/>
  <c r="I14" i="50" s="1"/>
  <c r="H13" i="50"/>
  <c r="I13" i="50" s="1"/>
  <c r="G13" i="50"/>
  <c r="E25" i="50"/>
  <c r="E22" i="50"/>
  <c r="F19" i="50"/>
  <c r="E28" i="50"/>
  <c r="C19" i="32"/>
  <c r="E25" i="32" s="1"/>
  <c r="H17" i="32"/>
  <c r="I17" i="32" s="1"/>
  <c r="H13" i="32"/>
  <c r="I13" i="32" s="1"/>
  <c r="G10" i="32"/>
  <c r="H14" i="32"/>
  <c r="I14" i="32" s="1"/>
  <c r="H10" i="32"/>
  <c r="I10" i="32" s="1"/>
  <c r="H16" i="32"/>
  <c r="I16" i="32" s="1"/>
  <c r="H11" i="32"/>
  <c r="I11" i="32" s="1"/>
  <c r="H7" i="39"/>
  <c r="H16" i="25"/>
  <c r="I16" i="25" s="1"/>
  <c r="G13" i="25"/>
  <c r="H15" i="25"/>
  <c r="I15" i="25" s="1"/>
  <c r="H17" i="25"/>
  <c r="I17" i="25" s="1"/>
  <c r="G17" i="26"/>
  <c r="C19" i="26"/>
  <c r="E25" i="26" s="1"/>
  <c r="J6" i="4" s="1"/>
  <c r="H16" i="26"/>
  <c r="I16" i="26" s="1"/>
  <c r="H15" i="26"/>
  <c r="I15" i="26" s="1"/>
  <c r="H14" i="26"/>
  <c r="I14" i="26" s="1"/>
  <c r="G13" i="26"/>
  <c r="H17" i="12"/>
  <c r="I17" i="12" s="1"/>
  <c r="H13" i="12"/>
  <c r="I13" i="12" s="1"/>
  <c r="H14" i="12"/>
  <c r="I14" i="12" s="1"/>
  <c r="H16" i="12"/>
  <c r="I16" i="12" s="1"/>
  <c r="E28" i="12"/>
  <c r="G7" i="4" s="1"/>
  <c r="G14" i="29"/>
  <c r="H17" i="29"/>
  <c r="I17" i="29" s="1"/>
  <c r="G9" i="29"/>
  <c r="H12" i="29"/>
  <c r="I12" i="29" s="1"/>
  <c r="H14" i="29"/>
  <c r="I14" i="29" s="1"/>
  <c r="H9" i="29"/>
  <c r="I9" i="29" s="1"/>
  <c r="H15" i="29"/>
  <c r="I15" i="29" s="1"/>
  <c r="H10" i="29"/>
  <c r="I10" i="29" s="1"/>
  <c r="H16" i="29"/>
  <c r="I16" i="29" s="1"/>
  <c r="H6" i="29"/>
  <c r="I6" i="29" s="1"/>
  <c r="H13" i="29"/>
  <c r="I13" i="29" s="1"/>
  <c r="H7" i="42"/>
  <c r="I7" i="42" s="1"/>
  <c r="H9" i="45"/>
  <c r="I9" i="45" s="1"/>
  <c r="H8" i="46"/>
  <c r="I8" i="46" s="1"/>
  <c r="H11" i="46"/>
  <c r="I11" i="46" s="1"/>
  <c r="H12" i="46"/>
  <c r="I12" i="46" s="1"/>
  <c r="H7" i="46"/>
  <c r="I7" i="46" s="1"/>
  <c r="G6" i="46"/>
  <c r="H15" i="24"/>
  <c r="I15" i="24" s="1"/>
  <c r="H13" i="24"/>
  <c r="I13" i="24" s="1"/>
  <c r="C19" i="24"/>
  <c r="E25" i="24" s="1"/>
  <c r="C6" i="4" s="1"/>
  <c r="C19" i="47"/>
  <c r="H17" i="47"/>
  <c r="I17" i="47" s="1"/>
  <c r="H16" i="47"/>
  <c r="I16" i="47" s="1"/>
  <c r="H15" i="47"/>
  <c r="I15" i="47" s="1"/>
  <c r="H14" i="47"/>
  <c r="I14" i="47" s="1"/>
  <c r="H13" i="47"/>
  <c r="I13" i="47" s="1"/>
  <c r="H12" i="47"/>
  <c r="I12" i="47" s="1"/>
  <c r="H11" i="47"/>
  <c r="I11" i="47" s="1"/>
  <c r="H10" i="47"/>
  <c r="I10" i="47" s="1"/>
  <c r="G10" i="47"/>
  <c r="E25" i="47"/>
  <c r="M6" i="4" s="1"/>
  <c r="E22" i="47"/>
  <c r="M5" i="4" s="1"/>
  <c r="F19" i="47"/>
  <c r="E28" i="47"/>
  <c r="M7" i="4" s="1"/>
  <c r="C19" i="46"/>
  <c r="E25" i="46" s="1"/>
  <c r="D6" i="4" s="1"/>
  <c r="H17" i="46"/>
  <c r="I17" i="46" s="1"/>
  <c r="H16" i="46"/>
  <c r="I16" i="46" s="1"/>
  <c r="H15" i="46"/>
  <c r="I15" i="46" s="1"/>
  <c r="H14" i="46"/>
  <c r="I14" i="46" s="1"/>
  <c r="H13" i="46"/>
  <c r="I13" i="46" s="1"/>
  <c r="I10" i="46"/>
  <c r="G10" i="46"/>
  <c r="E22" i="46"/>
  <c r="D5" i="4" s="1"/>
  <c r="F19" i="46"/>
  <c r="E28" i="46"/>
  <c r="D7" i="4" s="1"/>
  <c r="C19" i="45"/>
  <c r="E25" i="45" s="1"/>
  <c r="E6" i="4" s="1"/>
  <c r="H17" i="45"/>
  <c r="I17" i="45" s="1"/>
  <c r="H16" i="45"/>
  <c r="I16" i="45" s="1"/>
  <c r="H15" i="45"/>
  <c r="I15" i="45" s="1"/>
  <c r="H14" i="45"/>
  <c r="I14" i="45" s="1"/>
  <c r="H13" i="45"/>
  <c r="I13" i="45" s="1"/>
  <c r="H12" i="45"/>
  <c r="I12" i="45" s="1"/>
  <c r="H11" i="45"/>
  <c r="I11" i="45" s="1"/>
  <c r="H10" i="45"/>
  <c r="I10" i="45" s="1"/>
  <c r="G10" i="45"/>
  <c r="E22" i="45"/>
  <c r="E5" i="4" s="1"/>
  <c r="F19" i="45"/>
  <c r="E28" i="45"/>
  <c r="E7" i="4" s="1"/>
  <c r="C19" i="43"/>
  <c r="E25" i="43" s="1"/>
  <c r="K6" i="4" s="1"/>
  <c r="H17" i="43"/>
  <c r="I17" i="43" s="1"/>
  <c r="H16" i="43"/>
  <c r="I16" i="43" s="1"/>
  <c r="H15" i="43"/>
  <c r="I15" i="43" s="1"/>
  <c r="H14" i="43"/>
  <c r="I14" i="43" s="1"/>
  <c r="H13" i="43"/>
  <c r="I13" i="43" s="1"/>
  <c r="H12" i="43"/>
  <c r="I12" i="43" s="1"/>
  <c r="H11" i="43"/>
  <c r="I11" i="43" s="1"/>
  <c r="H10" i="43"/>
  <c r="I10" i="43" s="1"/>
  <c r="H9" i="43"/>
  <c r="I9" i="43" s="1"/>
  <c r="G9" i="43"/>
  <c r="E22" i="43"/>
  <c r="K5" i="4" s="1"/>
  <c r="F19" i="43"/>
  <c r="E28" i="43"/>
  <c r="K7" i="4" s="1"/>
  <c r="C19" i="42"/>
  <c r="E25" i="42" s="1"/>
  <c r="H6" i="4" s="1"/>
  <c r="H17" i="42"/>
  <c r="I17" i="42" s="1"/>
  <c r="H16" i="42"/>
  <c r="I16" i="42" s="1"/>
  <c r="H15" i="42"/>
  <c r="I15" i="42" s="1"/>
  <c r="H14" i="42"/>
  <c r="I14" i="42" s="1"/>
  <c r="H13" i="42"/>
  <c r="I13" i="42" s="1"/>
  <c r="H12" i="42"/>
  <c r="I12" i="42" s="1"/>
  <c r="H11" i="42"/>
  <c r="I11" i="42" s="1"/>
  <c r="H10" i="42"/>
  <c r="I10" i="42" s="1"/>
  <c r="H9" i="42"/>
  <c r="I9" i="42" s="1"/>
  <c r="G9" i="42"/>
  <c r="E22" i="42"/>
  <c r="H5" i="4" s="1"/>
  <c r="F19" i="42"/>
  <c r="E28" i="42"/>
  <c r="H7" i="4" s="1"/>
  <c r="C19" i="41"/>
  <c r="H17" i="41"/>
  <c r="I17" i="41" s="1"/>
  <c r="H16" i="41"/>
  <c r="I16" i="41" s="1"/>
  <c r="H15" i="41"/>
  <c r="I15" i="41" s="1"/>
  <c r="H14" i="41"/>
  <c r="I14" i="41" s="1"/>
  <c r="H13" i="41"/>
  <c r="I13" i="41" s="1"/>
  <c r="H12" i="41"/>
  <c r="I12" i="41" s="1"/>
  <c r="H11" i="41"/>
  <c r="I11" i="41" s="1"/>
  <c r="H10" i="41"/>
  <c r="I10" i="41" s="1"/>
  <c r="H9" i="41"/>
  <c r="I9" i="41" s="1"/>
  <c r="H8" i="41"/>
  <c r="I8" i="41" s="1"/>
  <c r="H7" i="41"/>
  <c r="I7" i="41" s="1"/>
  <c r="G7" i="41"/>
  <c r="E25" i="41"/>
  <c r="E22" i="41"/>
  <c r="F19" i="41"/>
  <c r="E28" i="41"/>
  <c r="C19" i="40"/>
  <c r="E25" i="40" s="1"/>
  <c r="I6" i="4" s="1"/>
  <c r="H17" i="40"/>
  <c r="I17" i="40" s="1"/>
  <c r="H16" i="40"/>
  <c r="I16" i="40" s="1"/>
  <c r="H15" i="40"/>
  <c r="I15" i="40" s="1"/>
  <c r="H14" i="40"/>
  <c r="I14" i="40" s="1"/>
  <c r="H13" i="40"/>
  <c r="I13" i="40" s="1"/>
  <c r="H12" i="40"/>
  <c r="I12" i="40" s="1"/>
  <c r="H11" i="40"/>
  <c r="I11" i="40" s="1"/>
  <c r="H10" i="40"/>
  <c r="I10" i="40" s="1"/>
  <c r="H9" i="40"/>
  <c r="I9" i="40" s="1"/>
  <c r="H8" i="40"/>
  <c r="I8" i="40" s="1"/>
  <c r="H7" i="40"/>
  <c r="I7" i="40" s="1"/>
  <c r="G6" i="40"/>
  <c r="E22" i="40"/>
  <c r="I5" i="4" s="1"/>
  <c r="F19" i="40"/>
  <c r="E28" i="40"/>
  <c r="I7" i="4" s="1"/>
  <c r="C19" i="39"/>
  <c r="E25" i="39" s="1"/>
  <c r="O6" i="4" s="1"/>
  <c r="H17" i="39"/>
  <c r="I17" i="39" s="1"/>
  <c r="H16" i="39"/>
  <c r="I16" i="39" s="1"/>
  <c r="H15" i="39"/>
  <c r="I15" i="39" s="1"/>
  <c r="H14" i="39"/>
  <c r="I14" i="39" s="1"/>
  <c r="H13" i="39"/>
  <c r="I13" i="39" s="1"/>
  <c r="H12" i="39"/>
  <c r="I12" i="39" s="1"/>
  <c r="H11" i="39"/>
  <c r="I11" i="39" s="1"/>
  <c r="H10" i="39"/>
  <c r="I10" i="39" s="1"/>
  <c r="H9" i="39"/>
  <c r="I9" i="39" s="1"/>
  <c r="H8" i="39"/>
  <c r="I8" i="39" s="1"/>
  <c r="I7" i="39"/>
  <c r="G7" i="39"/>
  <c r="E22" i="39"/>
  <c r="O5" i="4" s="1"/>
  <c r="F19" i="39"/>
  <c r="E28" i="39"/>
  <c r="O7" i="4" s="1"/>
  <c r="H6" i="25"/>
  <c r="I6" i="25" s="1"/>
  <c r="H9" i="25"/>
  <c r="I9" i="25" s="1"/>
  <c r="H8" i="25"/>
  <c r="I8" i="25" s="1"/>
  <c r="H7" i="25"/>
  <c r="I7" i="25" s="1"/>
  <c r="L26" i="36"/>
  <c r="K26" i="36"/>
  <c r="J26" i="36"/>
  <c r="I26" i="36"/>
  <c r="H26" i="36"/>
  <c r="L26" i="30"/>
  <c r="K26" i="30"/>
  <c r="J26" i="30"/>
  <c r="E25" i="36"/>
  <c r="E22" i="36"/>
  <c r="F19" i="36"/>
  <c r="E28" i="36"/>
  <c r="E22" i="22"/>
  <c r="E25" i="35"/>
  <c r="E22" i="35"/>
  <c r="F19" i="35"/>
  <c r="E28" i="35"/>
  <c r="E25" i="34"/>
  <c r="E22" i="34"/>
  <c r="F19" i="34"/>
  <c r="E28" i="34"/>
  <c r="F19" i="12"/>
  <c r="E22" i="12"/>
  <c r="G5" i="4" s="1"/>
  <c r="E22" i="14"/>
  <c r="E22" i="32"/>
  <c r="F19" i="32"/>
  <c r="E28" i="32"/>
  <c r="E25" i="30"/>
  <c r="E22" i="30"/>
  <c r="F19" i="30"/>
  <c r="E28" i="30"/>
  <c r="E25" i="29"/>
  <c r="F6" i="4" s="1"/>
  <c r="E22" i="29"/>
  <c r="F5" i="4" s="1"/>
  <c r="F19" i="29"/>
  <c r="E28" i="29"/>
  <c r="F7" i="4" s="1"/>
  <c r="E25" i="28"/>
  <c r="E22" i="28"/>
  <c r="F19" i="28"/>
  <c r="E28" i="28"/>
  <c r="E22" i="26"/>
  <c r="J5" i="4" s="1"/>
  <c r="F19" i="26"/>
  <c r="E28" i="26"/>
  <c r="J7" i="4" s="1"/>
  <c r="E25" i="25"/>
  <c r="L6" i="4" s="1"/>
  <c r="E22" i="25"/>
  <c r="L5" i="4" s="1"/>
  <c r="F19" i="25"/>
  <c r="E28" i="25"/>
  <c r="L7" i="4" s="1"/>
  <c r="E22" i="24"/>
  <c r="C5" i="4" s="1"/>
  <c r="F19" i="24"/>
  <c r="E28" i="24"/>
  <c r="C7" i="4" s="1"/>
  <c r="E25" i="23"/>
  <c r="N6" i="4" s="1"/>
  <c r="E22" i="23"/>
  <c r="N5" i="4" s="1"/>
  <c r="F19" i="23"/>
  <c r="E28" i="23"/>
  <c r="N7" i="4" s="1"/>
  <c r="F19" i="22"/>
  <c r="E28"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tc={F60F844C-B868-4D7B-888D-869D373AC53D}</author>
  </authors>
  <commentList>
    <comment ref="E7" authorId="0" shapeId="0" xr:uid="{00000000-0006-0000-0400-000001000000}">
      <text>
        <t>[Threaded comment]
Your version of Excel allows you to read this threaded comment; however, any edits to it will get removed if the file is opened in a newer version of Excel. Learn more: https://go.microsoft.com/fwlink/?linkid=870924
Comment:
    se habre caso de quintana dos dias</t>
      </text>
    </comment>
  </commentList>
</comments>
</file>

<file path=xl/sharedStrings.xml><?xml version="1.0" encoding="utf-8"?>
<sst xmlns="http://schemas.openxmlformats.org/spreadsheetml/2006/main" count="2285" uniqueCount="358">
  <si>
    <t>Accidentología (N° accidente/millon de hs trabajadas)</t>
  </si>
  <si>
    <t>ENE</t>
  </si>
  <si>
    <t>FEB</t>
  </si>
  <si>
    <t>MAR</t>
  </si>
  <si>
    <t>ABR</t>
  </si>
  <si>
    <t>MAY</t>
  </si>
  <si>
    <t>JUN</t>
  </si>
  <si>
    <t>JUL</t>
  </si>
  <si>
    <t>AGO</t>
  </si>
  <si>
    <t>SEP</t>
  </si>
  <si>
    <t>OCT</t>
  </si>
  <si>
    <t>NOV</t>
  </si>
  <si>
    <t>DIC</t>
  </si>
  <si>
    <t>Comirsa</t>
  </si>
  <si>
    <t>Represa</t>
  </si>
  <si>
    <t>Chapa</t>
  </si>
  <si>
    <t>Gasoducto</t>
  </si>
  <si>
    <t>Rio Turbio</t>
  </si>
  <si>
    <t>POBA</t>
  </si>
  <si>
    <t>San Luis</t>
  </si>
  <si>
    <t>Rincón</t>
  </si>
  <si>
    <t>Chavez</t>
  </si>
  <si>
    <t>CABA</t>
  </si>
  <si>
    <t>Añelo</t>
  </si>
  <si>
    <t>Vicente Lopez</t>
  </si>
  <si>
    <t>Bahía Blanca</t>
  </si>
  <si>
    <t>Blanca Luna</t>
  </si>
  <si>
    <t>UBA</t>
  </si>
  <si>
    <t>Olavarría</t>
  </si>
  <si>
    <t>Rio Colorado</t>
  </si>
  <si>
    <t>AESA</t>
  </si>
  <si>
    <t xml:space="preserve">Rincon </t>
  </si>
  <si>
    <t>Córdoba</t>
  </si>
  <si>
    <t>Salta</t>
  </si>
  <si>
    <t>Dotación Promedio</t>
  </si>
  <si>
    <t xml:space="preserve">Indice de Incidencia </t>
  </si>
  <si>
    <t xml:space="preserve">Indice de Frecuencia </t>
  </si>
  <si>
    <t xml:space="preserve">Indice de Gravedad </t>
  </si>
  <si>
    <t>Operación</t>
  </si>
  <si>
    <t>Mes</t>
  </si>
  <si>
    <t>Año</t>
  </si>
  <si>
    <t>Accidentes</t>
  </si>
  <si>
    <t>Cada cuantos dias 
se espera un evento</t>
  </si>
  <si>
    <t>San Nicolás</t>
  </si>
  <si>
    <t>Enero</t>
  </si>
  <si>
    <t>Sin eventos registrados</t>
  </si>
  <si>
    <t>Febrero</t>
  </si>
  <si>
    <t>Marzo</t>
  </si>
  <si>
    <t>Abril</t>
  </si>
  <si>
    <t>Mayo</t>
  </si>
  <si>
    <t>Junio</t>
  </si>
  <si>
    <t>Julio</t>
  </si>
  <si>
    <t>RINCÓN</t>
  </si>
  <si>
    <t>CORDOBA</t>
  </si>
  <si>
    <t>SAN LUIS</t>
  </si>
  <si>
    <t>SALTA</t>
  </si>
  <si>
    <t>BLANCA LUNA</t>
  </si>
  <si>
    <t>CHAPADMALAL</t>
  </si>
  <si>
    <t>Total</t>
  </si>
  <si>
    <t>Apellido y Nombre</t>
  </si>
  <si>
    <t xml:space="preserve">operacion </t>
  </si>
  <si>
    <t>Accidente</t>
  </si>
  <si>
    <t>Fin ILT</t>
  </si>
  <si>
    <t>Dias Acc</t>
  </si>
  <si>
    <t>Tipo de accidente</t>
  </si>
  <si>
    <t>Cumputa?</t>
  </si>
  <si>
    <t>SUAREZ MELISA VANINA</t>
  </si>
  <si>
    <t>chapa</t>
  </si>
  <si>
    <t>17/01/2023 </t>
  </si>
  <si>
    <t>SUFRIÓ UN ESGUINCE EN LA MUÑECA IZQUIERDA</t>
  </si>
  <si>
    <t>si</t>
  </si>
  <si>
    <t>x</t>
  </si>
  <si>
    <t>PALOMINO FEDERICO ALEJANDRO</t>
  </si>
  <si>
    <t>26/01/2023 </t>
  </si>
  <si>
    <t xml:space="preserve">
27/01/2023 </t>
  </si>
  <si>
    <t> SALPICA AGUA CALIENTE CAYENDO EN ROSTRO Y PIERNA</t>
  </si>
  <si>
    <t>AVELLANEDA HECTOR ANIBAL </t>
  </si>
  <si>
    <t>09/02/2023 </t>
  </si>
  <si>
    <t> ABRIR LA HELADERA SE LE CIERRA LA PIERTA EN LA CARA Y SE GOLPEA OJO DERECHO</t>
  </si>
  <si>
    <t xml:space="preserve">si </t>
  </si>
  <si>
    <t>QUINTANA NANCY EDITH </t>
  </si>
  <si>
    <t>11/02/2023 </t>
  </si>
  <si>
    <t>13/02/2023 </t>
  </si>
  <si>
    <t>REFIERE QUE POR EQUIVOCACION BEBE CERA LIQUIDA</t>
  </si>
  <si>
    <t>22/02/2023 </t>
  </si>
  <si>
    <t xml:space="preserve">REFIERE QUE EN EL TRANSCURSO DEL DIA SE LE INFLAMA EL PIE DCHO ACAUSA DE LAS TAREAS REALIZADAS </t>
  </si>
  <si>
    <t>CRUZ NADIA ANAHI BELEN </t>
  </si>
  <si>
    <t>represa</t>
  </si>
  <si>
    <t>25/03/2023 </t>
  </si>
  <si>
    <t>19/04/2023 </t>
  </si>
  <si>
    <t>E RESBALA Y CAE , GOLPEANDOTE LA CABEZA</t>
  </si>
  <si>
    <t>ACEVEDO NAHUEL </t>
  </si>
  <si>
    <t>11/05/2023 </t>
  </si>
  <si>
    <t>BAJANDO UN GARRAFON DE GAS DE UNA DE LAS CAMIONETAS DE LA EMPRESA, SE DESLIZÓ YÉNDOSE AL PISO Y GOLPEANDO LA MANO</t>
  </si>
  <si>
    <t>PUMALLOCLLA SOLIS NIEVES </t>
  </si>
  <si>
    <t>turbio</t>
  </si>
  <si>
    <t>30/04/2023 </t>
  </si>
  <si>
    <t>24/06/2023 </t>
  </si>
  <si>
    <t>REF QUE ESTABA SOBRE UNA SILLA LIMPIEANDO UN MICROONDA, LA SILLA SE DIO VUELTA, CAYO DE ESPALDA Y SE GOLPEO EL TALON DERECHO.  </t>
  </si>
  <si>
    <t>RAMIREZ ELIZABETH </t>
  </si>
  <si>
    <t>comirsa</t>
  </si>
  <si>
    <t>15/05/2023 </t>
  </si>
  <si>
    <t>REFIERE QUE AL LEVANTAR UNA PLACA DE HORNO LE AGARRA DOLOR DE HOMBRO IZQUIERDA </t>
  </si>
  <si>
    <t>RIVERO YAMILA JULIANA </t>
  </si>
  <si>
    <t>09/05/202</t>
  </si>
  <si>
    <t>29/09/2023 </t>
  </si>
  <si>
    <t>ESTABA TRABAJANDO EN UN TRÁILER, QUISO ABRIR LA PUERTA PARA APAGAR LAS LUCES Y SE CERRÓ LA PUERTA APRETÁNDOLE EL DEDO PULGAR DE LA MANO IZQUIERDA, </t>
  </si>
  <si>
    <t>RODRIGUEZ LUCAS EZEQUIE</t>
  </si>
  <si>
    <t>cordoba</t>
  </si>
  <si>
    <t>18/05/2023 </t>
  </si>
  <si>
    <t>TIRON EN LA ZONA LUMBAR</t>
  </si>
  <si>
    <t>09/10/2023 </t>
  </si>
  <si>
    <t> </t>
  </si>
  <si>
    <t xml:space="preserve">recaida </t>
  </si>
  <si>
    <t>CUEVAS SARA </t>
  </si>
  <si>
    <t>12/05/2023 </t>
  </si>
  <si>
    <t>SE ENCONTRABA EN EL BAÑO LIMPIANDO Y SE RESBALA, SE GOLPEA EN LA RODILLA DERECHA, BRAZO DERECHO Y MANO DERECHA </t>
  </si>
  <si>
    <t>SANCHEZ ELENA BEATRIZ </t>
  </si>
  <si>
    <t>01/06/2023 </t>
  </si>
  <si>
    <t>25/07/2023 </t>
  </si>
  <si>
    <t>SE RESBALA EN EL TRABAJO Y CAE</t>
  </si>
  <si>
    <t>PONCE VIRGINIA ISABEL</t>
  </si>
  <si>
    <t>07/06/2023 </t>
  </si>
  <si>
    <t>27/06/2023 </t>
  </si>
  <si>
    <t>SINTIO UN TIRON EN LA ESPALDA</t>
  </si>
  <si>
    <t>RODRIGUEZ MARCIA SABRINA </t>
  </si>
  <si>
    <t>04/07/2023 </t>
  </si>
  <si>
    <t>SE RESBALA Y CAE AL SUELO</t>
  </si>
  <si>
    <t>CONTRERA ROMINA ANDREA </t>
  </si>
  <si>
    <t>18/07/2023 </t>
  </si>
  <si>
    <t> SE LE CAE AGUA CALIENTE EN PIE IZQUIERDO</t>
  </si>
  <si>
    <t>QUINTANA NANCY EDITH</t>
  </si>
  <si>
    <t>14/07/2023 </t>
  </si>
  <si>
    <t>30/10/2023 </t>
  </si>
  <si>
    <t> ESTABA BAJANDO LAS ESCALERAS, HABIAN ENCERADO Y SE PATINO,</t>
  </si>
  <si>
    <t>AVENIDA SAN MARTIN 200 Loc.LA REJA </t>
  </si>
  <si>
    <t>bahi blanca</t>
  </si>
  <si>
    <t>28/07/2023 </t>
  </si>
  <si>
    <t>CORTANDO FIAMBRE, LA MAQUINA SE RESBALO Y CUANDO QUISE SUJETARLA HICE MUCHA FUERZA, SENTI UN FUERTE DOLOR EN EL HOMBRO IZQUIERDO</t>
  </si>
  <si>
    <t>ACOSTA BRUNO </t>
  </si>
  <si>
    <t>22/09/2023 </t>
  </si>
  <si>
    <t>27/09/2023 </t>
  </si>
  <si>
    <t>REF QUE ESTABA CARGANDO BATEAS CON ARROS, AL SUBIR UNA ESCALERA COMUN SINTIO UNA PUNTADA EN LA RODILLA IZQ.  </t>
  </si>
  <si>
    <t>SALAS ROLANDO ANDRES </t>
  </si>
  <si>
    <t>02/10/2023 </t>
  </si>
  <si>
    <t>REALIZANDO LIMPIEZA DE MESADASE CORTA CON FILO DE LA MISMA EN DEDO PULGAR E INDICE DE MANO IZQUIERDA </t>
  </si>
  <si>
    <t>HERNANDEZ GUSTAVO ARIEL </t>
  </si>
  <si>
    <t>santa cruz</t>
  </si>
  <si>
    <t>24/09/2023 </t>
  </si>
  <si>
    <t>24/10/2023 </t>
  </si>
  <si>
    <t> POR REBALSE DE CLOACAS SE CAE GOLPEANDO ESPALADA, COXIS, CUELLO Y CABEZA CON POSIBLE PERDIDA DE CONOC. RECUPERADA </t>
  </si>
  <si>
    <t>ACOSTA BRUNO</t>
  </si>
  <si>
    <t>26/09/2023 </t>
  </si>
  <si>
    <t>04/10/2023 </t>
  </si>
  <si>
    <t>REFIERE QUE ESTABA TRANSPORTANDO UNA OLLA DE AGUA CALIENTE, BAJANDO POR ESCALERAS, SE LE CAE AGUA SOBRE EL PIE IZQ </t>
  </si>
  <si>
    <t>CALVO LUCAS EZEQUIEL </t>
  </si>
  <si>
    <t>REFIERE QUE, AL LEVANTAR UNA OLLA CON UN COMPAÑERO Y AL BAJARLA SIENTE PUNZANTE EN REGION LUMBAR LADO IZQ.  </t>
  </si>
  <si>
    <t>17/10/2023 </t>
  </si>
  <si>
    <t>REF QUE ESTABA HACIENDO ENSALADAS, QUISO LEVANTAR UNA FUENTE CON ENSALADA RUSA, ERA MUY PESADA Y SINTIO UN TIRON EN LA ESPALDA.  </t>
  </si>
  <si>
    <t>MONDACA CELESTE ROCIO DEL CIELO </t>
  </si>
  <si>
    <t>11/10/2023 </t>
  </si>
  <si>
    <t>REF QUE ESTABA LAVANDO CUBIERTO Y SE PINCHO EL DEDO INDICE DE LA MANO DERECHA CON UN CUBIERTO, REF NO PUEDE MOVER LA MANO Y TIENE INFLAMACION EN EL DEDO.  </t>
  </si>
  <si>
    <t>VEGA EDUARDO ROBERTO </t>
  </si>
  <si>
    <t>25/10/2023 </t>
  </si>
  <si>
    <t>REFIERE QUE, LEVANTADO BOLSA DE 25 KG DE HARINA AL LEVANTAR GIRA PARA POSICIONARLA Y SIENTE DOLOR PUNZANTE EN REGION LUMBAR HASTA LA PIERNA IZQ. </t>
  </si>
  <si>
    <t>CRUZ MATIAS NAHUEL </t>
  </si>
  <si>
    <t>ricon</t>
  </si>
  <si>
    <t>03/01/2024 </t>
  </si>
  <si>
    <t>CORTANDO VERDURAS Y SIENTE UA DISTENSION EN LA MANO DERECHA </t>
  </si>
  <si>
    <t>GONZALEZ FEDERICO </t>
  </si>
  <si>
    <t>16/11/2023 </t>
  </si>
  <si>
    <t>LUMBAGO NO ESPECIFICADO </t>
  </si>
  <si>
    <t>23/12/2023 </t>
  </si>
  <si>
    <t xml:space="preserve">
02/01/2024</t>
  </si>
  <si>
    <t>RESBALA Y CAE. PRESENTA GOLPE EN ESPALDA Y CUELLO</t>
  </si>
  <si>
    <t xml:space="preserve">
11/10/2023</t>
  </si>
  <si>
    <t>15/12/2023 </t>
  </si>
  <si>
    <t>LUMBALGIA CON CIATICA </t>
  </si>
  <si>
    <t>GUZMAN ANGEL LEONARDO </t>
  </si>
  <si>
    <t xml:space="preserve">rincon </t>
  </si>
  <si>
    <t>30/11/2023 </t>
  </si>
  <si>
    <t>07/12/2023 </t>
  </si>
  <si>
    <t xml:space="preserve"> CAE GOLPEANDOSE PIERNA IZQUIERDA</t>
  </si>
  <si>
    <t>ALBORNOZ CARLOS MIGUEL ANGEL </t>
  </si>
  <si>
    <t>22/11/2023 </t>
  </si>
  <si>
    <t>01/12/2023 </t>
  </si>
  <si>
    <t>SE QUEMA EN ANTEBRAZO DERECHO SACANDO UNA PLACA DEL HORNO </t>
  </si>
  <si>
    <t>NO</t>
  </si>
  <si>
    <t>no</t>
  </si>
  <si>
    <t>Informe de ART</t>
  </si>
  <si>
    <t>ene-24</t>
  </si>
  <si>
    <t>feb-24</t>
  </si>
  <si>
    <t>mar-24</t>
  </si>
  <si>
    <t>abr-24</t>
  </si>
  <si>
    <t>may-24</t>
  </si>
  <si>
    <t>jun-24</t>
  </si>
  <si>
    <t>jul-24</t>
  </si>
  <si>
    <t>ago-24</t>
  </si>
  <si>
    <t>sep-24</t>
  </si>
  <si>
    <t>oct-24</t>
  </si>
  <si>
    <t>nov-24</t>
  </si>
  <si>
    <t>dic-24</t>
  </si>
  <si>
    <t>SCHVARZER LUCIANA PAULA</t>
  </si>
  <si>
    <t>REFIERE QUE ESTABA LLEVANDO EL CARRO CON LAS BANDEJAS CUANDO HACE FUERZA PARA EMPUJARLO SIENTE DOLOR EN EL PIE DERECHO Y DOLOR EN PIERNA IZQ</t>
  </si>
  <si>
    <t>https://www.provinciart.com.ar/siniestro/3529843</t>
  </si>
  <si>
    <t>X</t>
  </si>
  <si>
    <t>PALAVECINO LUCIANA SOLANGE </t>
  </si>
  <si>
    <t xml:space="preserve">
REF. QUE CONTINUA CON DOLOR EN PIERNA IZQ DE LA RODILLA HACIA ABAJO C/ HEMATOMA EN LA CANILLA         </t>
  </si>
  <si>
    <t>https://www.provinciart.com.ar/siniestro/3562810</t>
  </si>
  <si>
    <t>ALDECOA GASPAR SANTIAGO</t>
  </si>
  <si>
    <t>REFIERE QUE AL ABRIR UN BIDON QUE CREIA QUE ERA LAVANDINA , AL ASPIRAR EL VAPOR, LE AGARRA MAREOS, NAUSEAS Y TOS</t>
  </si>
  <si>
    <t>https://www.provinciart.com.ar/siniestro/3533418</t>
  </si>
  <si>
    <t>VALDEZ ANTONELA NOELIA</t>
  </si>
  <si>
    <t>REFIERE QUE LAVANDO TACHOS GRANDES Y CAMBROS AL LEVANTARLOS CONTINUAMENTE REF QUE LE TIRA EL HOMBRO DERECHO Y EL CUELLO DEL LADO DERECHO</t>
  </si>
  <si>
    <t>https://www.provinciart.com.ar/siniestro/3540695</t>
  </si>
  <si>
    <t>LOPEZ ELENA MARIA DEL CARMEN</t>
  </si>
  <si>
    <t xml:space="preserve">San Luis </t>
  </si>
  <si>
    <t>REFIERE QUE BAJANDO BANDEJAS HABIA UN VASO ROTO Y SE CORTA CON EL MISMO, DEDO MAYOR D EMANO DERECHA</t>
  </si>
  <si>
    <t>https://www.provinciart.com.ar/siniestro/3542418</t>
  </si>
  <si>
    <t>CEJAS MAXIMILIANO EXEQUIEL</t>
  </si>
  <si>
    <t xml:space="preserve">REF. COMENZO A PRESENTAR DOLOR EN CODO Y MANO DE LADO DERECHO </t>
  </si>
  <si>
    <t>https://www.provinciart.com.ar/siniestro/3552251</t>
  </si>
  <si>
    <t>VERA ROMINA ELIZABETH</t>
  </si>
  <si>
    <t>REFIERE QUE ESTABA HACIENDO UNA LIMPIEZA GENERAL, AGARRA EL BALDE DE AGUA CALIENTE, SE LE RESBALA Y LE CAE EN EL PIE IZQUIERDO QUEMÁNDOSE.</t>
  </si>
  <si>
    <t>https://www.provinciart.com.ar/siniestro/3554851</t>
  </si>
  <si>
    <t>CALVO PARRA MANUEL</t>
  </si>
  <si>
    <t>REFIERE QUE ESTABA ARMANDO UN CAFE Y SE CHORREO LECHE HERVIDA EN DEDO MEDIO, INDICE Y ANULAR MANO IZQUIERDA.</t>
  </si>
  <si>
    <t>https://www.provinciart.com.ar/siniestro/3570566</t>
  </si>
  <si>
    <t>MENDEZ EVELYN MELISA</t>
  </si>
  <si>
    <t xml:space="preserve">REF QUE ESTABA SACANDO LAS PAPAS DEL PELA PAPA, HABIA CASCARAS EN EL PISO, SE RESBALO AL VACIAR EL CANASTO EN LA BACHA, REF GOLPE EN LA MANO DERECHA, CAYO DE COLA, REF GOLPE EN CINTURA Y ESPALDA.  </t>
  </si>
  <si>
    <t>https://www.provinciart.com.ar/siniestro/3572740</t>
  </si>
  <si>
    <t xml:space="preserve">	
ACEVEDO JUAN JOSE</t>
  </si>
  <si>
    <t xml:space="preserve">EL TRABAJADOR SE ENCONTRABA MANEJANDO CUANDO UN ANIMAL SE CRUZÓ EN EL CAMINO Y EMBISTIÓ EL VEHICULO. </t>
  </si>
  <si>
    <t>https://www.provinciart.com.ar/siniestro/3579329</t>
  </si>
  <si>
    <t>SOSA JORGE EMANUEL </t>
  </si>
  <si>
    <t xml:space="preserve">YENDO DE VILLA MARIA A SAN LUIS EN LA CAMIONETA DE LA EMPRESA, CON OTRO EMPLEADO, LOS CHOCA DE ATRAS UN CAMION, LATIGO CERVICAL </t>
  </si>
  <si>
    <t>https://www.provinciart.com.ar/siniestro/3634336</t>
  </si>
  <si>
    <t>BAREIRO DIEGO FERNANDO</t>
  </si>
  <si>
    <t>https://www.provinciart.com.ar/siniestro/3634323</t>
  </si>
  <si>
    <t>GALLARDO JESUS AUGUSTO </t>
  </si>
  <si>
    <t>REFIERE QUE ESTABA LLEVANDO COMIDA EN LA CAMIONETA DE LA EMPRESA, CUANDO VOLVÍA, UN AUTO FRENA DE GOLPE Y ÉL LO CHOCA, SE GOLPEA PIERNA DER</t>
  </si>
  <si>
    <t>https://www.provinciart.com.ar/siniestro/3638468</t>
  </si>
  <si>
    <t>VALDIVIEZO ELIANA GABRIELA </t>
  </si>
  <si>
    <t xml:space="preserve">REFIERE CUANDO CARGABA CONSERVADORAS A LA CAMIONETA DE TRABAJO SIENTE TIRON EN HOMBRO IZQUIERDO  </t>
  </si>
  <si>
    <t>https://www.provinciart.com.ar/siniestro/3644984</t>
  </si>
  <si>
    <t xml:space="preserve">	LOPEZ ERNESTO FABIAN </t>
  </si>
  <si>
    <t xml:space="preserve">REFIERE QUE ESTABA AJUSTANDO UNA MAQUINA PROCESADORA HACE UN MOVIMIENTO PARA AJUSTARLA CORTANDOSE EL DEDO ANULAR DERECHO CONTRA LA CUCHILLA.FUE ASISTIDO </t>
  </si>
  <si>
    <t>https://www.provinciart.com.ar/siniestro/3651940</t>
  </si>
  <si>
    <t>TORRES ANGEL ADRIAN</t>
  </si>
  <si>
    <t xml:space="preserve">REFIERE DENUNCIANTE QUE SACANDO UNA BANDEJA DEL HORNO, RESBALA HACIA TRAS CAE GOLPEANDO LA CABEZA CONTRA EL SUELO Y PARTE DE LA ESPALDA  </t>
  </si>
  <si>
    <t>https://www.provinciart.com.ar/siniestro/3648921</t>
  </si>
  <si>
    <t>SOSA ACOSTA SEBASTIAN ALEJANDRO ARIEL</t>
  </si>
  <si>
    <t xml:space="preserve">REFIERE QUE ESTABA REALIZANDO LIMPIEZA GENERAL CUANDO COMENZO CO MAREOS Y SANGRADO NAZAL. </t>
  </si>
  <si>
    <t xml:space="preserve">FALABELLA JUAN IGNACIO </t>
  </si>
  <si>
    <t>Olavarria</t>
  </si>
  <si>
    <t>REFIERE QUE YENDO A TRABAJAR COLOCANDOSE EL BUZO SE SUBE A LA AVERDA Y CAE SOBRE EL BRAZO DERECHO Y SE SACA EL HOMBRO DE LUGAR</t>
  </si>
  <si>
    <t>https://www.provinciart.com.ar/siniestro/3722177</t>
  </si>
  <si>
    <t xml:space="preserve">Inoforme Maximia </t>
  </si>
  <si>
    <t>ene-25</t>
  </si>
  <si>
    <t>feb-25</t>
  </si>
  <si>
    <t>mar-25</t>
  </si>
  <si>
    <t>abr-25</t>
  </si>
  <si>
    <t>may-25</t>
  </si>
  <si>
    <t>jun-25</t>
  </si>
  <si>
    <t>jul-25</t>
  </si>
  <si>
    <t>ago-25</t>
  </si>
  <si>
    <t>sep-25</t>
  </si>
  <si>
    <t>oct-25</t>
  </si>
  <si>
    <t>nov-25</t>
  </si>
  <si>
    <t>dic-25</t>
  </si>
  <si>
    <t xml:space="preserve">FRANCO KEVIN ESPEJO </t>
  </si>
  <si>
    <t>salta</t>
  </si>
  <si>
    <t xml:space="preserve">	REF SE ENCONTRABA CARGANDO UNA CONSERVADORA A LA CAMIONETA Y SU COMPAÑERO LO AGARRA MAL, ESTO HACE QUE SE LE VENZA EL LADO DE EL Y SUFRA TIRON EN LA MUÑECA DERECHA.  </t>
  </si>
  <si>
    <t>https://www.provinciart.com.ar/siniestro/3783036</t>
  </si>
  <si>
    <t>https://maximiasams.sharepoint.com/sites/SGC/Documentos%20compartidos/Forms/AllItems.aspx?id=%2Fsites%2FSGC%2FDocumentos%20compartidos%2F08%20-%20Operaciones%2F03%20-%20Control%20de%20Calidad%2FRegistros%2FHyS%2FCOCINAS%2FSALTA%20%28Guemes%29%2F2025%2FFR%20109%20Informe%20de%20Investigación%20de%20Accidentes&amp;viewid=6eac0f6e-1073-4a98-99d6-a56bf71e815e</t>
  </si>
  <si>
    <t xml:space="preserve">	HERRERA SANDRO ABEL </t>
  </si>
  <si>
    <t>rincon de los sauces</t>
  </si>
  <si>
    <t xml:space="preserve">REF QUE ESTABA CORTANDO FIAMBRE Y SE CORTA EL DEDO MEÑIQUE DE LA MANO IZQ  </t>
  </si>
  <si>
    <t>https://www.provinciart.com.ar/siniestro/3795763</t>
  </si>
  <si>
    <t xml:space="preserve">MARTINEZ THOMAS IGNACIO </t>
  </si>
  <si>
    <t>REFIERE QUE ESTABA ARMNADO UNA MINIPIER Y SE CORTO CON LAS CUCHILLAS EN DEDO ANULAR DERECHO.</t>
  </si>
  <si>
    <t>https://www.provinciart.com.ar/siniestro/3798551</t>
  </si>
  <si>
    <t>https://maximiasams.sharepoint.com/sites/SGC/Documentos%20compartidos/Forms/AllItems.aspx?id=%2Fsites%2FSGC%2FDocumentos%20compartidos%2F08%20-%20Operaciones%2F03%20-%20Control%20de%20Calidad%2FRegistros%2FHyS%2FCOCINAS%2FPLANTA%20DE%20ARENA%2F2025%2FFR%20109-01%20Informe%20Técnico%20de%20Investigación%20de%20Accidentes%20e%20Incidentes&amp;viewid=6eac0f6e-1073-4a98-99d6-a56bf71e815e</t>
  </si>
  <si>
    <t>ESPINDOLA RAUL OSCAR</t>
  </si>
  <si>
    <t xml:space="preserve"> POBA</t>
  </si>
  <si>
    <t xml:space="preserve">	25/07/2025 </t>
  </si>
  <si>
    <t xml:space="preserve">REFIERE QUE SE ENCONTRABA CARGANDO BIDONES DE LAVANDINA CUANDO AL AGARRAR UNO QUE SE ENCONTRABA ABIERTO LE SALPICA EN EN EL OJO IZQ,REFIERE DOLOR Y ARDOR. </t>
  </si>
  <si>
    <t>https://www.provinciart.com.ar/siniestro/3863138</t>
  </si>
  <si>
    <t>DOMINGUEZ MONICA GRACIELA</t>
  </si>
  <si>
    <t xml:space="preserve"> CABA</t>
  </si>
  <si>
    <t xml:space="preserve">	07/08/2025 </t>
  </si>
  <si>
    <t xml:space="preserve">SE LASTIMO EL PIE IZQUIERDO CON UNA MACETA QUE SE CAYO AL MOMENTO DE REALIZAR LAS TAREAS DE LIMPIEZA RUTINARIAS </t>
  </si>
  <si>
    <t>https://www.provinciart.com.ar/siniestro/3871826</t>
  </si>
  <si>
    <t>AVELLANEDA IRENE BEATRIZ</t>
  </si>
  <si>
    <t>REF QUE ESTABA SIRVIENDO LA MERIENDA Y SE LE CAE SOBRE EL BRAZO LECHE CALIENTE</t>
  </si>
  <si>
    <t>https://www.provinciart.com.ar/siniestro/3866177</t>
  </si>
  <si>
    <t>EBENAU EDGAR EMANUEL</t>
  </si>
  <si>
    <t>PK 327</t>
  </si>
  <si>
    <t>REFIERE SE CORTA DEDO MENIQUE Y ANULAR IZQUIERDO POR CUCHILLO EN SU TRABAJO</t>
  </si>
  <si>
    <t>https://www.provinciart.com.ar/siniestro/3894739</t>
  </si>
  <si>
    <t>https://maximiasams.sharepoint.com/sites/SGC/Documentos%20compartidos/Forms/AllItems.aspx?id=%2Fsites%2FSGC%2FDocumentos%20compartidos%2F08%20-%20Operaciones%2F03%20-%20Control%20de%20Calidad%2FRegistros%2FHyS%2FCOCINAS%2FPK%20327%2F2025%2FFR%20107%20Control%20de%20Higiene%20y%20Seguridad%2FFR%20109%20Accidentes&amp;viewid=6eac0f6e-1073-4a98-99d6-a56bf71e815e</t>
  </si>
  <si>
    <t xml:space="preserve">ORELLANA DIEGO MIGUEL </t>
  </si>
  <si>
    <t>RDA</t>
  </si>
  <si>
    <t xml:space="preserve">	REF SE ENCONTRABA LIMPIANDO UN EXTRACTOR, Y ESTE ESTABA ENCENDIDO Y ROZA UNA HELICE Y SE PRODUCE CORTE EN EL DEDO ANULAR Y MEDIO DE MANO DERECHA.</t>
  </si>
  <si>
    <t>https://www.provinciart.com.ar/siniestro/3952873</t>
  </si>
  <si>
    <t xml:space="preserve">BULLONES LAURA ALEJANDRA </t>
  </si>
  <si>
    <t xml:space="preserve">	22/11/2025</t>
  </si>
  <si>
    <t>REFIERE QUE BAJANDO LA ESCALERA DE UN DEPARTAMENTO EN EL COMPLEJO QUE LE PROVEE LA EMPRESA PARA DIRIGIRSE A SU FUNCION LABORAL SE RESBALA Y CAE TX LUMBAR</t>
  </si>
  <si>
    <t>https://www.provinciart.com.ar/siniestro/3948922</t>
  </si>
  <si>
    <t>SEPULVEDA JOSE EDUARDO</t>
  </si>
  <si>
    <t xml:space="preserve">REFIERE QUE, TIRANDO RESIDUOS EN CONTEDEDOR DE HIERRO, SE RESBALA Y GOLPEA ESAPALDA LADO DERECHO (A NIVEL RENAL) CONTRA EL CONTENEDOR. PRESENTA DOLOR EN LA REGIÓN Y HEMATOMA </t>
  </si>
  <si>
    <t>https://www.provinciart.com.ar/siniestro/3962384</t>
  </si>
  <si>
    <t>INFORME DE SINIESTRALIDAD</t>
  </si>
  <si>
    <t>Añuelo</t>
  </si>
  <si>
    <t>Estadísticas de Accidentes</t>
  </si>
  <si>
    <t>Incorporar a tablero de indicadores</t>
  </si>
  <si>
    <t>Mes y Año</t>
  </si>
  <si>
    <t>Personal</t>
  </si>
  <si>
    <t>Hht</t>
  </si>
  <si>
    <t>Días Caídos</t>
  </si>
  <si>
    <t>Indice de I</t>
  </si>
  <si>
    <t>indice de f</t>
  </si>
  <si>
    <t>Tasa de frecuencia Acumulado año eventos cada millon de horas (YTD)</t>
  </si>
  <si>
    <t>Tasa de frecuencia Acumulado año eventos cada mil de horas (YTD)</t>
  </si>
  <si>
    <t>Promedio Mensual de eventos</t>
  </si>
  <si>
    <t>Cada cuantos dias se espera un evento</t>
  </si>
  <si>
    <t>Total/Prom</t>
  </si>
  <si>
    <t>Indice de Incidencia =</t>
  </si>
  <si>
    <t>Trab Siniest x 1.000</t>
  </si>
  <si>
    <t>=</t>
  </si>
  <si>
    <t>Trabajadores siniestrados por cada 1.000 trabajadores.</t>
  </si>
  <si>
    <t>Trabajadores exp</t>
  </si>
  <si>
    <t>Indice de Frecuencia =</t>
  </si>
  <si>
    <t>Trab Siniest x 1.000.000</t>
  </si>
  <si>
    <t>Trabajadores siniestrados por cada 1.000.000 de hs. trabajadas.</t>
  </si>
  <si>
    <t>Horas Trabajadas</t>
  </si>
  <si>
    <t>Indice de Gravedad =</t>
  </si>
  <si>
    <t>Cantidad de días no trabajados por acc., por cada trabajador.</t>
  </si>
  <si>
    <t>(pérdida)</t>
  </si>
  <si>
    <t>El cálculo del Indice de Incidencia contempla la modificación impuesta por la Res 475/11 Superintendencia de Riesgos de Trabajo:</t>
  </si>
  <si>
    <t>Lic. Vidal Fernando</t>
  </si>
  <si>
    <t>Bahia Blanca</t>
  </si>
  <si>
    <t>Casa Central</t>
  </si>
  <si>
    <t>Punta arena</t>
  </si>
  <si>
    <t xml:space="preserve">Policlinico </t>
  </si>
  <si>
    <t>Accidentes CAUSAS 75%</t>
  </si>
  <si>
    <t>Rincon de Aranda</t>
  </si>
  <si>
    <t xml:space="preserve">lic. Vidal Fernando </t>
  </si>
  <si>
    <t>LOS TOLDOS</t>
  </si>
  <si>
    <t xml:space="preserve">Ciudad Universitaria </t>
  </si>
  <si>
    <t>Cordoba</t>
  </si>
  <si>
    <t xml:space="preserve">Lic. Vidal Fernando </t>
  </si>
  <si>
    <t xml:space="preserve">Rio Turbio </t>
  </si>
  <si>
    <t xml:space="preserve">lic Vidal Fernando </t>
  </si>
  <si>
    <t>Bunge Bahia</t>
  </si>
  <si>
    <t>UTE</t>
  </si>
  <si>
    <t>Migraciones</t>
  </si>
  <si>
    <t>Imac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</si>
</sst>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yy"/>
  </numFmts>
  <fonts count="36">
    <font>
      <sz val="10"/>
      <name val="Arial"/>
    </font>
    <font>
      <b/>
      <i/>
      <sz val="14"/>
      <name val="Arial Black"/>
      <family val="2"/>
    </font>
    <font>
      <b/>
      <sz val="10"/>
      <name val="Arial"/>
      <family val="2"/>
    </font>
    <font>
      <i/>
      <sz val="16"/>
      <name val="Arial"/>
      <family val="2"/>
    </font>
    <font>
      <sz val="16"/>
      <name val="Arial"/>
    </font>
    <font>
      <b/>
      <i/>
      <sz val="12"/>
      <name val="Arial Black"/>
      <family val="2"/>
    </font>
    <font>
      <sz val="12"/>
      <name val="Arial Black"/>
      <family val="2"/>
    </font>
    <font>
      <b/>
      <i/>
      <sz val="16"/>
      <name val="Arial"/>
      <family val="2"/>
    </font>
    <font>
      <b/>
      <sz val="13"/>
      <name val="Arial"/>
      <family val="2"/>
    </font>
    <font>
      <sz val="16"/>
      <name val="Arial"/>
      <family val="2"/>
    </font>
    <font>
      <b/>
      <sz val="14"/>
      <name val="Arial"/>
      <family val="2"/>
    </font>
    <font>
      <sz val="7"/>
      <name val="Arial"/>
      <family val="2"/>
    </font>
    <font>
      <sz val="10"/>
      <name val="Arial"/>
      <family val="2"/>
    </font>
    <font>
      <b/>
      <u/>
      <sz val="12"/>
      <name val="Arial"/>
      <family val="2"/>
    </font>
    <font>
      <sz val="8"/>
      <name val="Arial"/>
    </font>
    <font>
      <b/>
      <sz val="16"/>
      <name val="Arial"/>
      <family val="2"/>
    </font>
    <font>
      <i/>
      <sz val="10"/>
      <name val="Arial"/>
      <family val="2"/>
    </font>
    <font>
      <b/>
      <i/>
      <sz val="10"/>
      <name val="Arial"/>
      <family val="2"/>
    </font>
    <font>
      <sz val="10"/>
      <color rgb="FF00B050"/>
      <name val="Arial"/>
      <family val="2"/>
    </font>
    <font>
      <b/>
      <sz val="12"/>
      <name val="Arial"/>
      <family val="2"/>
    </font>
    <font>
      <b/>
      <sz val="11"/>
      <name val="Arial"/>
      <family val="2"/>
    </font>
    <font>
      <i/>
      <sz val="11"/>
      <name val="Arial"/>
      <family val="2"/>
    </font>
    <font>
      <sz val="11"/>
      <name val="Arial"/>
    </font>
    <font>
      <b/>
      <sz val="10"/>
      <name val="Arial"/>
    </font>
    <font>
      <sz val="8"/>
      <color rgb="FF3C3C3B"/>
      <name val="Arial"/>
    </font>
    <font>
      <sz val="11"/>
      <color rgb="FF3C3C3B"/>
      <name val="Arial"/>
    </font>
    <font>
      <i/>
      <sz val="8"/>
      <name val="Arial"/>
    </font>
    <font>
      <i/>
      <sz val="10"/>
      <name val="Arial"/>
    </font>
    <font>
      <i/>
      <sz val="11"/>
      <name val="Arial"/>
    </font>
    <font>
      <sz val="12"/>
      <color rgb="FF3C3C3B"/>
      <name val="Arial"/>
    </font>
    <font>
      <u/>
      <sz val="10"/>
      <color theme="10"/>
      <name val="Arial"/>
    </font>
    <font>
      <sz val="10"/>
      <color rgb="FF000000"/>
      <name val="Arial"/>
    </font>
    <font>
      <b/>
      <sz val="10"/>
      <color theme="0"/>
      <name val="Arial"/>
    </font>
    <font>
      <b/>
      <sz val="10"/>
      <color rgb="FF000000"/>
      <name val="Arial"/>
    </font>
    <font>
      <sz val="10"/>
      <color theme="10"/>
      <name val="Arial"/>
    </font>
    <font>
      <sz val="10"/>
      <color theme="1"/>
      <name val="Arial"/>
      <family val="2"/>
    </font>
  </fonts>
  <fills count="10">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3"/>
        <bgColor indexed="64"/>
      </patternFill>
    </fill>
    <fill>
      <patternFill patternType="solid">
        <fgColor theme="2" tint="-9.9978637043366805E-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30" fillId="0" borderId="0" applyNumberFormat="0" applyFill="0" applyBorder="0" applyAlignment="0" applyProtection="0"/>
  </cellStyleXfs>
  <cellXfs count="218">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7" fontId="0" fillId="0" borderId="1" xfId="0" applyNumberFormat="1" applyBorder="1" applyAlignment="1">
      <alignment horizontal="center"/>
    </xf>
    <xf numFmtId="4" fontId="0" fillId="0" borderId="1" xfId="0" applyNumberFormat="1" applyBorder="1" applyAlignment="1">
      <alignment horizontal="center"/>
    </xf>
    <xf numFmtId="0" fontId="0" fillId="2" borderId="0" xfId="0" applyFill="1"/>
    <xf numFmtId="0" fontId="0" fillId="2" borderId="2" xfId="0" applyFill="1" applyBorder="1" applyAlignment="1">
      <alignment horizontal="center"/>
    </xf>
    <xf numFmtId="0" fontId="0" fillId="2" borderId="0" xfId="0" applyFill="1" applyAlignment="1">
      <alignment horizontal="center"/>
    </xf>
    <xf numFmtId="0" fontId="2" fillId="0" borderId="0" xfId="0" applyFont="1"/>
    <xf numFmtId="4" fontId="0" fillId="0" borderId="1" xfId="0" quotePrefix="1" applyNumberFormat="1" applyBorder="1" applyAlignment="1">
      <alignment horizontal="center"/>
    </xf>
    <xf numFmtId="0" fontId="3" fillId="2" borderId="0" xfId="0" applyFont="1" applyFill="1" applyAlignment="1">
      <alignment horizontal="center"/>
    </xf>
    <xf numFmtId="17" fontId="4" fillId="0" borderId="0" xfId="0" applyNumberFormat="1" applyFont="1"/>
    <xf numFmtId="0" fontId="5" fillId="0" borderId="0" xfId="0" applyFont="1"/>
    <xf numFmtId="0" fontId="6" fillId="0" borderId="0" xfId="0" applyFont="1"/>
    <xf numFmtId="0" fontId="7" fillId="2" borderId="0" xfId="0" applyFont="1" applyFill="1" applyAlignment="1">
      <alignment horizontal="center"/>
    </xf>
    <xf numFmtId="0" fontId="8" fillId="2" borderId="0" xfId="0" applyFont="1" applyFill="1"/>
    <xf numFmtId="0" fontId="8" fillId="0" borderId="0" xfId="0" applyFont="1"/>
    <xf numFmtId="0" fontId="9" fillId="2" borderId="0" xfId="0" applyFont="1" applyFill="1" applyAlignment="1">
      <alignment horizontal="center"/>
    </xf>
    <xf numFmtId="0" fontId="9" fillId="0" borderId="0" xfId="0" applyFont="1" applyAlignment="1">
      <alignment horizontal="center"/>
    </xf>
    <xf numFmtId="4" fontId="10" fillId="2" borderId="0" xfId="0" applyNumberFormat="1" applyFont="1" applyFill="1" applyAlignment="1">
      <alignment horizontal="left"/>
    </xf>
    <xf numFmtId="0" fontId="10" fillId="2" borderId="0" xfId="0" applyFont="1" applyFill="1" applyAlignment="1">
      <alignment horizontal="left"/>
    </xf>
    <xf numFmtId="0" fontId="10" fillId="0" borderId="0" xfId="0" applyFont="1" applyAlignment="1">
      <alignment horizontal="left"/>
    </xf>
    <xf numFmtId="2" fontId="10" fillId="2" borderId="0" xfId="0" applyNumberFormat="1" applyFont="1" applyFill="1" applyAlignment="1">
      <alignment horizontal="left"/>
    </xf>
    <xf numFmtId="0" fontId="12" fillId="0" borderId="0" xfId="0" applyFont="1" applyAlignment="1">
      <alignment horizontal="center"/>
    </xf>
    <xf numFmtId="0" fontId="15" fillId="0" borderId="0" xfId="0" applyFont="1" applyAlignment="1">
      <alignment vertical="center"/>
    </xf>
    <xf numFmtId="4" fontId="16" fillId="0" borderId="1" xfId="0" applyNumberFormat="1" applyFont="1" applyBorder="1" applyAlignment="1">
      <alignment horizontal="center"/>
    </xf>
    <xf numFmtId="0" fontId="17" fillId="0" borderId="0" xfId="0" applyFont="1" applyAlignment="1">
      <alignment horizontal="right"/>
    </xf>
    <xf numFmtId="4" fontId="18" fillId="0" borderId="1" xfId="0" applyNumberFormat="1" applyFont="1" applyBorder="1" applyAlignment="1">
      <alignment horizontal="center"/>
    </xf>
    <xf numFmtId="0" fontId="19" fillId="0" borderId="0" xfId="0" applyFont="1" applyAlignment="1">
      <alignment vertical="center"/>
    </xf>
    <xf numFmtId="0" fontId="0" fillId="0" borderId="0" xfId="0" applyAlignment="1">
      <alignment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12" fillId="0" borderId="0" xfId="0" applyFont="1"/>
    <xf numFmtId="17" fontId="0" fillId="0" borderId="0" xfId="0" applyNumberFormat="1"/>
    <xf numFmtId="0" fontId="2" fillId="0" borderId="4" xfId="0" applyFont="1" applyBorder="1" applyAlignment="1">
      <alignment horizontal="center" vertical="center" wrapText="1"/>
    </xf>
    <xf numFmtId="1" fontId="17" fillId="0" borderId="0" xfId="0" applyNumberFormat="1" applyFont="1"/>
    <xf numFmtId="0" fontId="0" fillId="0" borderId="5" xfId="0" applyBorder="1"/>
    <xf numFmtId="4" fontId="0" fillId="0" borderId="6" xfId="0" applyNumberFormat="1" applyBorder="1" applyAlignment="1">
      <alignment horizontal="center"/>
    </xf>
    <xf numFmtId="0" fontId="0" fillId="0" borderId="6" xfId="0" applyBorder="1" applyAlignment="1">
      <alignment horizontal="center"/>
    </xf>
    <xf numFmtId="0" fontId="0" fillId="4" borderId="0" xfId="0" applyFill="1"/>
    <xf numFmtId="4" fontId="0" fillId="3" borderId="1" xfId="0" applyNumberFormat="1" applyFill="1" applyBorder="1" applyAlignment="1">
      <alignment horizontal="center"/>
    </xf>
    <xf numFmtId="0" fontId="0" fillId="0" borderId="5" xfId="0" applyBorder="1" applyAlignment="1">
      <alignment vertical="center"/>
    </xf>
    <xf numFmtId="1" fontId="0" fillId="0" borderId="5" xfId="0" applyNumberFormat="1" applyBorder="1" applyAlignment="1">
      <alignment vertical="center"/>
    </xf>
    <xf numFmtId="0" fontId="0" fillId="0" borderId="9" xfId="0" applyBorder="1"/>
    <xf numFmtId="0" fontId="0" fillId="0" borderId="10" xfId="0" applyBorder="1" applyAlignment="1">
      <alignment vertical="center"/>
    </xf>
    <xf numFmtId="4" fontId="0" fillId="0" borderId="10" xfId="0" applyNumberFormat="1" applyBorder="1" applyAlignment="1">
      <alignment vertical="center"/>
    </xf>
    <xf numFmtId="0" fontId="0" fillId="0" borderId="0" xfId="0" applyAlignment="1">
      <alignment vertical="center"/>
    </xf>
    <xf numFmtId="0" fontId="0" fillId="0" borderId="5" xfId="0" applyBorder="1" applyAlignment="1">
      <alignment vertical="center" wrapText="1"/>
    </xf>
    <xf numFmtId="2" fontId="0" fillId="0" borderId="5" xfId="0" applyNumberFormat="1" applyBorder="1" applyAlignment="1">
      <alignment vertical="center"/>
    </xf>
    <xf numFmtId="0" fontId="0" fillId="3" borderId="5" xfId="0" applyFill="1" applyBorder="1" applyAlignment="1">
      <alignment vertical="center" wrapText="1"/>
    </xf>
    <xf numFmtId="0" fontId="0" fillId="3" borderId="5" xfId="0" applyFill="1" applyBorder="1" applyAlignment="1">
      <alignment vertical="center"/>
    </xf>
    <xf numFmtId="0" fontId="12" fillId="5" borderId="0" xfId="0" applyFont="1" applyFill="1"/>
    <xf numFmtId="0" fontId="0" fillId="5" borderId="0" xfId="0" applyFill="1"/>
    <xf numFmtId="0" fontId="2" fillId="0" borderId="1" xfId="0" quotePrefix="1" applyFont="1" applyBorder="1"/>
    <xf numFmtId="14" fontId="16" fillId="0" borderId="0" xfId="0" applyNumberFormat="1"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left" vertical="justify" wrapText="1"/>
    </xf>
    <xf numFmtId="0" fontId="16" fillId="0" borderId="1" xfId="0" applyFont="1" applyBorder="1" applyAlignment="1">
      <alignment horizontal="left" vertical="center" wrapText="1"/>
    </xf>
    <xf numFmtId="14"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justify" wrapText="1"/>
    </xf>
    <xf numFmtId="14" fontId="17" fillId="0" borderId="1" xfId="0" applyNumberFormat="1" applyFont="1" applyBorder="1" applyAlignment="1">
      <alignment horizontal="center" vertical="center" wrapText="1"/>
    </xf>
    <xf numFmtId="0" fontId="20" fillId="0" borderId="1" xfId="0" quotePrefix="1" applyFont="1" applyBorder="1"/>
    <xf numFmtId="14" fontId="17" fillId="0" borderId="0" xfId="0" applyNumberFormat="1" applyFont="1" applyAlignment="1">
      <alignment horizontal="center" vertical="center" wrapText="1"/>
    </xf>
    <xf numFmtId="0" fontId="22" fillId="0" borderId="5" xfId="0" applyFont="1" applyBorder="1"/>
    <xf numFmtId="0" fontId="21" fillId="0" borderId="3" xfId="0" applyFont="1" applyBorder="1" applyAlignment="1">
      <alignment horizontal="left" vertical="center" wrapText="1"/>
    </xf>
    <xf numFmtId="14" fontId="21" fillId="0" borderId="3" xfId="0" applyNumberFormat="1" applyFont="1" applyBorder="1" applyAlignment="1">
      <alignment horizontal="center" vertical="center" wrapText="1"/>
    </xf>
    <xf numFmtId="0" fontId="21" fillId="0" borderId="3" xfId="0" applyFont="1" applyBorder="1" applyAlignment="1">
      <alignment horizontal="center" vertical="center" wrapText="1"/>
    </xf>
    <xf numFmtId="0" fontId="21" fillId="0" borderId="3" xfId="0" applyFont="1" applyBorder="1" applyAlignment="1">
      <alignment horizontal="left" vertical="justify" wrapText="1"/>
    </xf>
    <xf numFmtId="0" fontId="21" fillId="0" borderId="1" xfId="0" applyFont="1" applyBorder="1" applyAlignment="1">
      <alignment horizontal="left" vertical="center" wrapText="1"/>
    </xf>
    <xf numFmtId="14" fontId="21"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horizontal="left" vertical="justify" wrapText="1"/>
    </xf>
    <xf numFmtId="0" fontId="0" fillId="0" borderId="0" xfId="0" applyAlignment="1">
      <alignment horizontal="center" vertical="center"/>
    </xf>
    <xf numFmtId="2" fontId="0" fillId="0" borderId="0" xfId="0" applyNumberFormat="1" applyAlignment="1">
      <alignment horizontal="center" vertical="center"/>
    </xf>
    <xf numFmtId="2" fontId="0" fillId="4" borderId="5" xfId="0" applyNumberFormat="1" applyFill="1" applyBorder="1" applyAlignment="1">
      <alignment horizontal="center" vertical="center"/>
    </xf>
    <xf numFmtId="4" fontId="0" fillId="4" borderId="5" xfId="0" applyNumberFormat="1" applyFill="1" applyBorder="1" applyAlignment="1">
      <alignment horizontal="center" vertical="center"/>
    </xf>
    <xf numFmtId="4" fontId="0" fillId="0" borderId="5" xfId="0" applyNumberFormat="1" applyBorder="1" applyAlignment="1">
      <alignment horizontal="center" vertical="center"/>
    </xf>
    <xf numFmtId="2" fontId="0" fillId="0" borderId="5" xfId="0" applyNumberFormat="1" applyBorder="1" applyAlignment="1">
      <alignment horizontal="center" vertical="center"/>
    </xf>
    <xf numFmtId="4" fontId="0" fillId="0" borderId="9" xfId="0" applyNumberFormat="1" applyBorder="1" applyAlignment="1">
      <alignment horizontal="center" vertical="center"/>
    </xf>
    <xf numFmtId="2" fontId="0" fillId="0" borderId="9" xfId="0" applyNumberFormat="1" applyBorder="1" applyAlignment="1">
      <alignment horizontal="center" vertical="center"/>
    </xf>
    <xf numFmtId="1" fontId="0" fillId="0" borderId="5" xfId="0" applyNumberFormat="1" applyBorder="1" applyAlignment="1">
      <alignment horizontal="center" vertical="center"/>
    </xf>
    <xf numFmtId="2" fontId="0" fillId="0" borderId="14" xfId="0" applyNumberFormat="1" applyBorder="1" applyAlignment="1">
      <alignment horizontal="center" vertical="center"/>
    </xf>
    <xf numFmtId="1" fontId="0" fillId="0" borderId="14" xfId="0" applyNumberFormat="1" applyBorder="1" applyAlignment="1">
      <alignment horizontal="center" vertical="center"/>
    </xf>
    <xf numFmtId="2" fontId="0" fillId="0" borderId="15" xfId="0" applyNumberFormat="1" applyBorder="1" applyAlignment="1">
      <alignment horizontal="center" vertical="center"/>
    </xf>
    <xf numFmtId="2" fontId="0" fillId="0" borderId="16" xfId="0" applyNumberFormat="1" applyBorder="1" applyAlignment="1">
      <alignment horizontal="center" vertical="center"/>
    </xf>
    <xf numFmtId="0" fontId="22" fillId="0" borderId="5" xfId="0" applyFont="1" applyBorder="1" applyAlignment="1">
      <alignment horizontal="center"/>
    </xf>
    <xf numFmtId="0" fontId="24" fillId="0" borderId="1" xfId="0" applyFont="1" applyBorder="1" applyAlignment="1">
      <alignment readingOrder="2"/>
    </xf>
    <xf numFmtId="0" fontId="24" fillId="0" borderId="3" xfId="0" applyFont="1" applyBorder="1" applyAlignment="1">
      <alignment readingOrder="2"/>
    </xf>
    <xf numFmtId="0" fontId="24" fillId="0" borderId="3" xfId="0" applyFont="1" applyBorder="1" applyAlignment="1">
      <alignment wrapText="1" readingOrder="2"/>
    </xf>
    <xf numFmtId="0" fontId="24" fillId="0" borderId="4" xfId="0" applyFont="1" applyBorder="1" applyAlignment="1">
      <alignment readingOrder="2"/>
    </xf>
    <xf numFmtId="0" fontId="24" fillId="0" borderId="7" xfId="0" applyFont="1" applyBorder="1" applyAlignment="1">
      <alignment readingOrder="2"/>
    </xf>
    <xf numFmtId="0" fontId="24" fillId="0" borderId="5" xfId="0" applyFont="1" applyBorder="1" applyAlignment="1">
      <alignment readingOrder="2"/>
    </xf>
    <xf numFmtId="0" fontId="25" fillId="0" borderId="8" xfId="0" applyFont="1" applyBorder="1"/>
    <xf numFmtId="0" fontId="25" fillId="0" borderId="5" xfId="0" applyFont="1" applyBorder="1"/>
    <xf numFmtId="0" fontId="24" fillId="0" borderId="5" xfId="0" applyFont="1" applyBorder="1"/>
    <xf numFmtId="0" fontId="14" fillId="0" borderId="11" xfId="0" applyFont="1" applyBorder="1" applyAlignment="1">
      <alignment readingOrder="2"/>
    </xf>
    <xf numFmtId="14" fontId="24" fillId="0" borderId="11" xfId="0" applyNumberFormat="1" applyFont="1" applyBorder="1" applyAlignment="1">
      <alignment wrapText="1" readingOrder="2"/>
    </xf>
    <xf numFmtId="0" fontId="24" fillId="0" borderId="11" xfId="0" applyFont="1" applyBorder="1" applyAlignment="1">
      <alignment readingOrder="2"/>
    </xf>
    <xf numFmtId="0" fontId="14" fillId="0" borderId="11" xfId="0" applyFont="1" applyBorder="1" applyAlignment="1">
      <alignment horizontal="center" readingOrder="2"/>
    </xf>
    <xf numFmtId="0" fontId="26" fillId="0" borderId="12" xfId="0" applyFont="1" applyBorder="1" applyAlignment="1">
      <alignment readingOrder="2"/>
    </xf>
    <xf numFmtId="0" fontId="24" fillId="0" borderId="12" xfId="0" applyFont="1" applyBorder="1" applyAlignment="1">
      <alignment wrapText="1" readingOrder="2"/>
    </xf>
    <xf numFmtId="0" fontId="26" fillId="0" borderId="12" xfId="0" applyFont="1" applyBorder="1" applyAlignment="1">
      <alignment horizontal="center" wrapText="1" readingOrder="2"/>
    </xf>
    <xf numFmtId="0" fontId="24" fillId="0" borderId="12" xfId="0" applyFont="1" applyBorder="1" applyAlignment="1">
      <alignment readingOrder="2"/>
    </xf>
    <xf numFmtId="14" fontId="24" fillId="0" borderId="12" xfId="0" applyNumberFormat="1" applyFont="1" applyBorder="1" applyAlignment="1">
      <alignment wrapText="1" readingOrder="2"/>
    </xf>
    <xf numFmtId="0" fontId="14" fillId="0" borderId="12" xfId="0" applyFont="1" applyBorder="1" applyAlignment="1">
      <alignment horizontal="center" readingOrder="2"/>
    </xf>
    <xf numFmtId="0" fontId="26" fillId="0" borderId="12" xfId="0" applyFont="1" applyBorder="1" applyAlignment="1">
      <alignment wrapText="1" readingOrder="2"/>
    </xf>
    <xf numFmtId="0" fontId="27" fillId="0" borderId="12" xfId="0" applyFont="1" applyBorder="1" applyAlignment="1">
      <alignment wrapText="1" readingOrder="2"/>
    </xf>
    <xf numFmtId="0" fontId="27" fillId="0" borderId="12" xfId="0" applyFont="1" applyBorder="1" applyAlignment="1">
      <alignment horizontal="center" wrapText="1" readingOrder="2"/>
    </xf>
    <xf numFmtId="14" fontId="24" fillId="0" borderId="12" xfId="0" applyNumberFormat="1" applyFont="1" applyBorder="1" applyAlignment="1">
      <alignment readingOrder="2"/>
    </xf>
    <xf numFmtId="0" fontId="27" fillId="0" borderId="13" xfId="0" applyFont="1" applyBorder="1" applyAlignment="1">
      <alignment wrapText="1" readingOrder="2"/>
    </xf>
    <xf numFmtId="0" fontId="24" fillId="0" borderId="13" xfId="0" applyFont="1" applyBorder="1" applyAlignment="1">
      <alignment readingOrder="2"/>
    </xf>
    <xf numFmtId="0" fontId="27" fillId="0" borderId="13" xfId="0" applyFont="1" applyBorder="1" applyAlignment="1">
      <alignment horizontal="center" wrapText="1" readingOrder="2"/>
    </xf>
    <xf numFmtId="0" fontId="24" fillId="0" borderId="13" xfId="0" applyFont="1" applyBorder="1" applyAlignment="1">
      <alignment wrapText="1" readingOrder="2"/>
    </xf>
    <xf numFmtId="0" fontId="27" fillId="0" borderId="7" xfId="0" applyFont="1" applyBorder="1" applyAlignment="1">
      <alignment wrapText="1" readingOrder="2"/>
    </xf>
    <xf numFmtId="0" fontId="27" fillId="0" borderId="7" xfId="0" applyFont="1" applyBorder="1" applyAlignment="1">
      <alignment horizontal="center" wrapText="1" readingOrder="2"/>
    </xf>
    <xf numFmtId="0" fontId="24" fillId="0" borderId="7" xfId="0" applyFont="1" applyBorder="1" applyAlignment="1">
      <alignment wrapText="1" readingOrder="2"/>
    </xf>
    <xf numFmtId="0" fontId="27" fillId="0" borderId="5" xfId="0" applyFont="1" applyBorder="1" applyAlignment="1">
      <alignment wrapText="1" readingOrder="2"/>
    </xf>
    <xf numFmtId="0" fontId="24" fillId="0" borderId="5" xfId="0" applyFont="1" applyBorder="1" applyAlignment="1">
      <alignment wrapText="1" readingOrder="2"/>
    </xf>
    <xf numFmtId="0" fontId="27" fillId="0" borderId="5" xfId="0" applyFont="1" applyBorder="1" applyAlignment="1">
      <alignment horizontal="center" wrapText="1" readingOrder="2"/>
    </xf>
    <xf numFmtId="14" fontId="28" fillId="0" borderId="8" xfId="0" applyNumberFormat="1" applyFont="1" applyBorder="1" applyAlignment="1">
      <alignment horizontal="center" vertical="center" wrapText="1"/>
    </xf>
    <xf numFmtId="0" fontId="29" fillId="0" borderId="0" xfId="0" applyFont="1"/>
    <xf numFmtId="0" fontId="28" fillId="0" borderId="8" xfId="0" applyFont="1" applyBorder="1" applyAlignment="1">
      <alignment horizontal="center" vertical="center" wrapText="1"/>
    </xf>
    <xf numFmtId="0" fontId="24" fillId="0" borderId="0" xfId="0" applyFont="1" applyAlignment="1">
      <alignment wrapText="1"/>
    </xf>
    <xf numFmtId="14" fontId="28" fillId="0" borderId="5" xfId="0" applyNumberFormat="1" applyFont="1" applyBorder="1" applyAlignment="1">
      <alignment horizontal="center" vertical="center" wrapText="1"/>
    </xf>
    <xf numFmtId="14" fontId="25" fillId="0" borderId="5" xfId="0" applyNumberFormat="1" applyFont="1" applyBorder="1"/>
    <xf numFmtId="0" fontId="28" fillId="0" borderId="5" xfId="0" applyFont="1" applyBorder="1" applyAlignment="1">
      <alignment horizontal="center" vertical="center" wrapText="1"/>
    </xf>
    <xf numFmtId="0" fontId="24" fillId="0" borderId="5" xfId="0" applyFont="1" applyBorder="1" applyAlignment="1">
      <alignment wrapText="1"/>
    </xf>
    <xf numFmtId="0" fontId="25" fillId="6" borderId="5" xfId="0" applyFont="1" applyFill="1" applyBorder="1" applyAlignment="1">
      <alignment wrapText="1"/>
    </xf>
    <xf numFmtId="2" fontId="0" fillId="0" borderId="0" xfId="0" applyNumberFormat="1" applyAlignment="1">
      <alignment horizontal="center"/>
    </xf>
    <xf numFmtId="0" fontId="23" fillId="0" borderId="15" xfId="0" applyFont="1" applyBorder="1" applyAlignment="1">
      <alignment horizontal="center" vertical="center"/>
    </xf>
    <xf numFmtId="0" fontId="23" fillId="0" borderId="21" xfId="0" applyFont="1" applyBorder="1" applyAlignment="1">
      <alignment horizontal="center" vertical="center"/>
    </xf>
    <xf numFmtId="0" fontId="23" fillId="0" borderId="16" xfId="0" applyFont="1" applyBorder="1" applyAlignment="1">
      <alignment horizontal="center" vertical="center"/>
    </xf>
    <xf numFmtId="2" fontId="0" fillId="0" borderId="8" xfId="0" applyNumberFormat="1" applyBorder="1" applyAlignment="1">
      <alignment horizontal="center" vertical="center"/>
    </xf>
    <xf numFmtId="2" fontId="0" fillId="0" borderId="22" xfId="0" applyNumberFormat="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23" fillId="0" borderId="26" xfId="0" applyFont="1" applyBorder="1" applyAlignment="1">
      <alignment horizontal="center" vertical="center"/>
    </xf>
    <xf numFmtId="2" fontId="0" fillId="0" borderId="27" xfId="0" applyNumberFormat="1" applyBorder="1" applyAlignment="1">
      <alignment horizontal="center" vertical="center"/>
    </xf>
    <xf numFmtId="2" fontId="0" fillId="0" borderId="10" xfId="0" applyNumberFormat="1" applyBorder="1" applyAlignment="1">
      <alignment horizontal="center" vertical="center"/>
    </xf>
    <xf numFmtId="1" fontId="0" fillId="0" borderId="10" xfId="0" applyNumberFormat="1" applyBorder="1" applyAlignment="1">
      <alignment horizontal="center" vertical="center"/>
    </xf>
    <xf numFmtId="2" fontId="0" fillId="0" borderId="21" xfId="0" applyNumberFormat="1" applyBorder="1" applyAlignment="1">
      <alignment horizontal="center" vertical="center"/>
    </xf>
    <xf numFmtId="2" fontId="0" fillId="0" borderId="28" xfId="0" applyNumberFormat="1" applyBorder="1" applyAlignment="1">
      <alignment horizontal="center" vertical="center"/>
    </xf>
    <xf numFmtId="1" fontId="0" fillId="0" borderId="9" xfId="0" applyNumberFormat="1" applyBorder="1" applyAlignment="1">
      <alignment horizontal="center" vertical="center"/>
    </xf>
    <xf numFmtId="2" fontId="0" fillId="0" borderId="29" xfId="0" applyNumberFormat="1" applyBorder="1" applyAlignment="1">
      <alignment horizontal="center" vertical="center"/>
    </xf>
    <xf numFmtId="0" fontId="13" fillId="4" borderId="0" xfId="0" applyFont="1" applyFill="1" applyAlignment="1">
      <alignment horizontal="center"/>
    </xf>
    <xf numFmtId="0" fontId="23" fillId="7" borderId="5" xfId="0" applyFont="1" applyFill="1" applyBorder="1" applyAlignment="1">
      <alignment horizontal="center" vertical="center"/>
    </xf>
    <xf numFmtId="0" fontId="0" fillId="8" borderId="5" xfId="0" applyFill="1" applyBorder="1" applyAlignment="1">
      <alignment horizontal="center" vertical="center"/>
    </xf>
    <xf numFmtId="0" fontId="32" fillId="8" borderId="5" xfId="0" applyFont="1" applyFill="1" applyBorder="1" applyAlignment="1">
      <alignment horizontal="center" vertical="center"/>
    </xf>
    <xf numFmtId="0" fontId="32" fillId="8" borderId="9" xfId="0" applyFont="1" applyFill="1" applyBorder="1"/>
    <xf numFmtId="0" fontId="31" fillId="0" borderId="5" xfId="1" applyFont="1" applyBorder="1" applyAlignment="1">
      <alignment horizontal="left" vertical="center" wrapText="1" readingOrder="2"/>
    </xf>
    <xf numFmtId="0" fontId="31" fillId="6" borderId="5" xfId="0" applyFont="1" applyFill="1" applyBorder="1" applyAlignment="1">
      <alignment horizontal="left" vertical="center" wrapText="1"/>
    </xf>
    <xf numFmtId="0" fontId="31" fillId="0" borderId="5" xfId="0" applyFont="1" applyBorder="1" applyAlignment="1">
      <alignment horizontal="left" vertical="center" wrapText="1" readingOrder="2"/>
    </xf>
    <xf numFmtId="0" fontId="31" fillId="0" borderId="5" xfId="0" applyFont="1" applyBorder="1" applyAlignment="1">
      <alignment horizontal="left" vertical="center" wrapText="1"/>
    </xf>
    <xf numFmtId="0" fontId="34" fillId="0" borderId="5" xfId="1" applyFont="1" applyBorder="1" applyAlignment="1">
      <alignment horizontal="left" vertical="center" wrapText="1" readingOrder="2"/>
    </xf>
    <xf numFmtId="0" fontId="34" fillId="4" borderId="5" xfId="1" applyFont="1" applyFill="1" applyBorder="1" applyAlignment="1">
      <alignment horizontal="left" vertical="center" wrapText="1" readingOrder="2"/>
    </xf>
    <xf numFmtId="0" fontId="12" fillId="0" borderId="27" xfId="0" applyFont="1" applyBorder="1" applyAlignment="1">
      <alignment horizontal="center" vertical="center" wrapText="1"/>
    </xf>
    <xf numFmtId="164" fontId="12" fillId="0" borderId="8" xfId="0" applyNumberFormat="1" applyFont="1" applyBorder="1" applyAlignment="1">
      <alignment horizontal="center" vertical="center" wrapText="1"/>
    </xf>
    <xf numFmtId="0" fontId="12" fillId="0" borderId="8" xfId="0" applyFont="1" applyBorder="1" applyAlignment="1">
      <alignment horizontal="center" vertical="center" wrapText="1"/>
    </xf>
    <xf numFmtId="17" fontId="0" fillId="0" borderId="8" xfId="0" applyNumberFormat="1" applyBorder="1" applyAlignment="1">
      <alignment horizontal="center" vertical="center"/>
    </xf>
    <xf numFmtId="0" fontId="34" fillId="0" borderId="5" xfId="1" applyFont="1" applyFill="1" applyBorder="1" applyAlignment="1">
      <alignment horizontal="left" vertical="center" wrapText="1"/>
    </xf>
    <xf numFmtId="17" fontId="0" fillId="0" borderId="28" xfId="0" applyNumberFormat="1" applyBorder="1" applyAlignment="1">
      <alignment horizontal="center" vertical="center"/>
    </xf>
    <xf numFmtId="0" fontId="31" fillId="0" borderId="5" xfId="0" applyFont="1" applyBorder="1" applyAlignment="1">
      <alignment horizontal="center" vertical="center" readingOrder="2"/>
    </xf>
    <xf numFmtId="14" fontId="31" fillId="0" borderId="5" xfId="0" applyNumberFormat="1" applyFont="1" applyBorder="1" applyAlignment="1">
      <alignment horizontal="center" vertical="center"/>
    </xf>
    <xf numFmtId="0" fontId="31" fillId="0" borderId="5" xfId="0" applyFont="1" applyBorder="1" applyAlignment="1">
      <alignment horizontal="center" vertical="center"/>
    </xf>
    <xf numFmtId="0" fontId="31" fillId="0" borderId="5" xfId="0" applyFont="1" applyBorder="1" applyAlignment="1">
      <alignment horizontal="center" vertical="center" wrapText="1" readingOrder="2"/>
    </xf>
    <xf numFmtId="14" fontId="31" fillId="0" borderId="5" xfId="0" applyNumberFormat="1" applyFont="1" applyBorder="1" applyAlignment="1">
      <alignment horizontal="center" vertical="center" wrapText="1" readingOrder="2"/>
    </xf>
    <xf numFmtId="14" fontId="31" fillId="0" borderId="5" xfId="0" applyNumberFormat="1" applyFont="1" applyBorder="1" applyAlignment="1">
      <alignment horizontal="center" vertical="center" readingOrder="2"/>
    </xf>
    <xf numFmtId="0" fontId="31" fillId="0" borderId="7" xfId="0" applyFont="1" applyBorder="1" applyAlignment="1">
      <alignment horizontal="center" vertical="center" wrapText="1" readingOrder="2"/>
    </xf>
    <xf numFmtId="0" fontId="0" fillId="0" borderId="5" xfId="0" applyBorder="1" applyAlignment="1">
      <alignment horizontal="center" vertical="center"/>
    </xf>
    <xf numFmtId="0" fontId="0" fillId="0" borderId="7" xfId="0" applyBorder="1" applyAlignment="1">
      <alignment horizontal="center" vertical="center"/>
    </xf>
    <xf numFmtId="0" fontId="34" fillId="9" borderId="7" xfId="0" applyFont="1" applyFill="1" applyBorder="1" applyAlignment="1">
      <alignment horizontal="left" vertical="center" wrapText="1" readingOrder="2"/>
    </xf>
    <xf numFmtId="0" fontId="0" fillId="9" borderId="7" xfId="0" applyFill="1" applyBorder="1" applyAlignment="1">
      <alignment horizontal="center" vertical="center"/>
    </xf>
    <xf numFmtId="0" fontId="0" fillId="9" borderId="31" xfId="0" applyFill="1" applyBorder="1" applyAlignment="1">
      <alignment horizontal="center" vertical="center"/>
    </xf>
    <xf numFmtId="0" fontId="31" fillId="9" borderId="7" xfId="0" applyFont="1" applyFill="1" applyBorder="1" applyAlignment="1">
      <alignment horizontal="left" vertical="center" wrapText="1" readingOrder="2"/>
    </xf>
    <xf numFmtId="0" fontId="31" fillId="9" borderId="30" xfId="0" applyFont="1" applyFill="1" applyBorder="1" applyAlignment="1">
      <alignment horizontal="center" vertical="center"/>
    </xf>
    <xf numFmtId="0" fontId="31" fillId="9" borderId="7" xfId="0" applyFont="1" applyFill="1" applyBorder="1" applyAlignment="1">
      <alignment horizontal="center" vertical="center" wrapText="1" readingOrder="2"/>
    </xf>
    <xf numFmtId="0" fontId="31" fillId="9" borderId="7" xfId="0" applyFont="1" applyFill="1" applyBorder="1" applyAlignment="1">
      <alignment horizontal="center" vertical="center" readingOrder="2"/>
    </xf>
    <xf numFmtId="0" fontId="33" fillId="0" borderId="10" xfId="0" applyFont="1" applyBorder="1" applyAlignment="1">
      <alignment horizontal="center" vertical="center"/>
    </xf>
    <xf numFmtId="0" fontId="33" fillId="0" borderId="10" xfId="0" applyFont="1" applyBorder="1" applyAlignment="1">
      <alignment horizontal="center" vertical="center" wrapText="1" readingOrder="2"/>
    </xf>
    <xf numFmtId="0" fontId="33" fillId="0" borderId="10" xfId="0" applyFont="1" applyBorder="1" applyAlignment="1">
      <alignment horizontal="center" vertical="center" readingOrder="2"/>
    </xf>
    <xf numFmtId="0" fontId="33" fillId="0" borderId="30" xfId="0" applyFont="1" applyBorder="1" applyAlignment="1">
      <alignment horizontal="center" vertical="center"/>
    </xf>
    <xf numFmtId="0" fontId="31" fillId="0" borderId="7" xfId="0" applyFont="1" applyBorder="1" applyAlignment="1">
      <alignment horizontal="center" vertical="center"/>
    </xf>
    <xf numFmtId="0" fontId="33" fillId="3" borderId="27" xfId="0" applyFont="1" applyFill="1" applyBorder="1" applyAlignment="1">
      <alignment horizontal="center" vertical="center"/>
    </xf>
    <xf numFmtId="0" fontId="33" fillId="3" borderId="8" xfId="0" applyFont="1" applyFill="1" applyBorder="1" applyAlignment="1">
      <alignment horizontal="center" vertical="center"/>
    </xf>
    <xf numFmtId="1" fontId="31" fillId="0" borderId="9" xfId="0" applyNumberFormat="1" applyFont="1" applyBorder="1" applyAlignment="1">
      <alignment horizontal="center" vertical="center"/>
    </xf>
    <xf numFmtId="0" fontId="31" fillId="0" borderId="9" xfId="0" applyFont="1" applyBorder="1" applyAlignment="1">
      <alignment horizontal="center" vertical="center"/>
    </xf>
    <xf numFmtId="0" fontId="31" fillId="0" borderId="31" xfId="0" applyFont="1" applyBorder="1" applyAlignment="1">
      <alignment horizontal="center" vertical="center"/>
    </xf>
    <xf numFmtId="0" fontId="33" fillId="3" borderId="28" xfId="0" applyFont="1" applyFill="1" applyBorder="1" applyAlignment="1">
      <alignment horizontal="center" vertical="center" wrapText="1"/>
    </xf>
    <xf numFmtId="0" fontId="31" fillId="0" borderId="10" xfId="0" applyFont="1" applyBorder="1" applyAlignment="1">
      <alignment horizontal="center" vertical="center"/>
    </xf>
    <xf numFmtId="0" fontId="0" fillId="0" borderId="1" xfId="0" applyBorder="1" applyAlignment="1">
      <alignment horizontal="center" vertical="center"/>
    </xf>
    <xf numFmtId="0" fontId="18" fillId="0" borderId="1" xfId="0" applyFont="1" applyBorder="1" applyAlignment="1">
      <alignment horizontal="center" vertical="center"/>
    </xf>
    <xf numFmtId="0" fontId="31" fillId="0" borderId="30" xfId="0" applyFont="1" applyBorder="1" applyAlignment="1">
      <alignment horizontal="center" vertical="center"/>
    </xf>
    <xf numFmtId="14" fontId="31" fillId="0" borderId="5" xfId="0" applyNumberFormat="1" applyFont="1" applyBorder="1" applyAlignment="1">
      <alignment horizontal="center" vertical="center" wrapText="1"/>
    </xf>
    <xf numFmtId="14" fontId="31" fillId="0" borderId="7" xfId="0" applyNumberFormat="1" applyFont="1" applyBorder="1" applyAlignment="1">
      <alignment horizontal="center" vertical="center" readingOrder="2"/>
    </xf>
    <xf numFmtId="0" fontId="31" fillId="0" borderId="7" xfId="0" applyFont="1" applyBorder="1" applyAlignment="1">
      <alignment horizontal="left" vertical="center" wrapText="1" readingOrder="2"/>
    </xf>
    <xf numFmtId="0" fontId="34" fillId="0" borderId="7" xfId="1" applyFont="1" applyBorder="1" applyAlignment="1">
      <alignment horizontal="left" vertical="center" wrapText="1" readingOrder="2"/>
    </xf>
    <xf numFmtId="0" fontId="0" fillId="0" borderId="9" xfId="0" applyBorder="1" applyAlignment="1">
      <alignment horizontal="center" vertical="center"/>
    </xf>
    <xf numFmtId="0" fontId="0" fillId="0" borderId="31" xfId="0" applyBorder="1" applyAlignment="1">
      <alignment horizontal="center" vertical="center"/>
    </xf>
    <xf numFmtId="0" fontId="30" fillId="0" borderId="5" xfId="1" applyBorder="1" applyAlignment="1">
      <alignment horizontal="left" vertical="center" wrapText="1" readingOrder="2"/>
    </xf>
    <xf numFmtId="0" fontId="33" fillId="0" borderId="10" xfId="0" applyFont="1" applyBorder="1" applyAlignment="1">
      <alignment horizontal="center" vertical="center" wrapText="1"/>
    </xf>
    <xf numFmtId="4" fontId="35" fillId="0" borderId="1" xfId="0" applyNumberFormat="1" applyFont="1" applyBorder="1" applyAlignment="1">
      <alignment horizontal="center"/>
    </xf>
    <xf numFmtId="0" fontId="30" fillId="0" borderId="5" xfId="1" applyFill="1" applyBorder="1" applyAlignment="1">
      <alignment horizontal="left" vertical="center" wrapText="1"/>
    </xf>
    <xf numFmtId="0" fontId="33" fillId="0" borderId="27" xfId="0" applyFont="1" applyBorder="1" applyAlignment="1">
      <alignment horizontal="center" vertical="center"/>
    </xf>
    <xf numFmtId="0" fontId="31" fillId="0" borderId="8" xfId="0" applyFont="1" applyBorder="1" applyAlignment="1">
      <alignment horizontal="center" vertical="center" wrapText="1" readingOrder="2"/>
    </xf>
    <xf numFmtId="14" fontId="31" fillId="0" borderId="8" xfId="0" applyNumberFormat="1" applyFont="1" applyBorder="1" applyAlignment="1">
      <alignment horizontal="center" vertical="center" readingOrder="2"/>
    </xf>
    <xf numFmtId="0" fontId="34" fillId="0" borderId="5" xfId="1" applyFont="1" applyFill="1" applyBorder="1" applyAlignment="1">
      <alignment horizontal="left" vertical="center" wrapText="1" readingOrder="2"/>
    </xf>
    <xf numFmtId="0" fontId="30" fillId="0" borderId="8" xfId="1" applyBorder="1" applyAlignment="1">
      <alignment horizontal="left" vertical="center" wrapText="1" readingOrder="2"/>
    </xf>
    <xf numFmtId="0" fontId="0" fillId="0" borderId="8" xfId="0"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11" fillId="2" borderId="0" xfId="0" applyFont="1" applyFill="1" applyAlignment="1">
      <alignment vertical="top" wrapText="1"/>
    </xf>
    <xf numFmtId="0" fontId="2" fillId="0" borderId="0" xfId="0" applyFont="1" applyAlignment="1">
      <alignment wrapText="1"/>
    </xf>
    <xf numFmtId="0" fontId="0" fillId="0" borderId="0" xfId="0" applyAlignment="1">
      <alignment wrapText="1"/>
    </xf>
  </cellXfs>
  <cellStyles count="2">
    <cellStyle name="Hyperlink" xfId="1" xr:uid="{00000000-000B-0000-0000-000008000000}"/>
    <cellStyle name="Normal" xfId="0" builtinId="0"/>
  </cellStyles>
  <dxfs count="157">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0"/>
        <name val="Arial"/>
        <scheme val="none"/>
      </font>
      <alignment horizontal="lef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0"/>
        <name val="Arial"/>
        <scheme val="none"/>
      </font>
      <fill>
        <patternFill patternType="solid">
          <fgColor indexed="64"/>
          <bgColor theme="2" tint="-9.9978637043366805E-2"/>
        </patternFill>
      </fill>
      <alignment horizontal="left"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0"/>
        <name val="Arial"/>
        <scheme val="none"/>
      </font>
      <alignment horizontal="lef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0"/>
        <name val="Arial"/>
        <scheme val="none"/>
      </font>
      <fill>
        <patternFill patternType="solid">
          <fgColor indexed="64"/>
          <bgColor theme="2" tint="-9.9978637043366805E-2"/>
        </patternFill>
      </fill>
      <alignment horizontal="left"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lef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left"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numFmt numFmtId="19" formatCode="dd/mm/yyyy"/>
      <alignment horizontal="center" vertical="center" textRotation="0" wrapText="0"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numFmt numFmtId="19" formatCode="dd/mm/yyyy"/>
      <alignment horizontal="center" vertical="center" textRotation="0" wrapText="0"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1" indent="0" justifyLastLine="0" shrinkToFit="0" readingOrder="2"/>
      <border diagonalUp="0" diagonalDown="0" outline="0">
        <left style="thin">
          <color rgb="FF000000"/>
        </left>
        <right style="thin">
          <color rgb="FF000000"/>
        </right>
        <top style="thin">
          <color rgb="FF000000"/>
        </top>
        <bottom/>
      </border>
    </dxf>
    <dxf>
      <font>
        <b/>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0"/>
      <border diagonalUp="0" diagonalDown="0" outline="0">
        <left/>
        <right style="thin">
          <color rgb="FF000000"/>
        </right>
        <top style="thin">
          <color rgb="FF000000"/>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22" formatCode="mmm\-yy"/>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ill>
        <patternFill patternType="solid">
          <bgColor theme="3" tint="0.79998168889431442"/>
        </patternFill>
      </fill>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0"/>
        <name val="Arial"/>
        <scheme val="none"/>
      </font>
      <alignment horizontal="lef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0"/>
        <name val="Arial"/>
        <scheme val="none"/>
      </font>
      <fill>
        <patternFill patternType="solid">
          <fgColor indexed="64"/>
          <bgColor theme="2" tint="-9.9978637043366805E-2"/>
        </patternFill>
      </fill>
      <alignment horizontal="left"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0"/>
        <name val="Arial"/>
        <scheme val="none"/>
      </font>
      <alignment horizontal="lef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0"/>
        <name val="Arial"/>
        <scheme val="none"/>
      </font>
      <fill>
        <patternFill patternType="solid">
          <fgColor indexed="64"/>
          <bgColor theme="2" tint="-9.9978637043366805E-2"/>
        </patternFill>
      </fill>
      <alignment horizontal="left"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lef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left"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numFmt numFmtId="19" formatCode="dd/mm/yyyy"/>
      <alignment horizontal="center" vertical="center" textRotation="0" wrapText="0"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numFmt numFmtId="19" formatCode="dd/mm/yyyy"/>
      <alignment horizontal="center" vertical="center" textRotation="0" wrapText="0"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1" indent="0" justifyLastLine="0" shrinkToFit="0" readingOrder="2"/>
      <border diagonalUp="0" diagonalDown="0" outline="0">
        <left style="thin">
          <color rgb="FF000000"/>
        </left>
        <right style="thin">
          <color rgb="FF000000"/>
        </right>
        <top style="thin">
          <color rgb="FF000000"/>
        </top>
        <bottom/>
      </border>
    </dxf>
    <dxf>
      <font>
        <b/>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0"/>
      <border diagonalUp="0" diagonalDown="0" outline="0">
        <left/>
        <right style="thin">
          <color rgb="FF000000"/>
        </right>
        <top style="thin">
          <color rgb="FF000000"/>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22" formatCode="mmm\-yy"/>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ill>
        <patternFill patternType="solid">
          <bgColor theme="3" tint="0.79998168889431442"/>
        </patternFill>
      </fill>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0"/>
        <name val="Arial"/>
        <scheme val="none"/>
      </font>
      <alignment horizontal="lef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0"/>
        <name val="Arial"/>
        <scheme val="none"/>
      </font>
      <fill>
        <patternFill patternType="solid">
          <fgColor indexed="64"/>
          <bgColor theme="2" tint="-9.9978637043366805E-2"/>
        </patternFill>
      </fill>
      <alignment horizontal="left"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lef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left"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1"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numFmt numFmtId="19" formatCode="dd/mm/yyyy"/>
      <alignment horizontal="center" vertical="center" textRotation="0" wrapText="0"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numFmt numFmtId="19" formatCode="dd/mm/yyyy"/>
      <alignment horizontal="center" vertical="center" textRotation="0" wrapText="0"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2"/>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1" indent="0" justifyLastLine="0" shrinkToFit="0" readingOrder="2"/>
      <border diagonalUp="0" diagonalDown="0" outline="0">
        <left style="thin">
          <color rgb="FF000000"/>
        </left>
        <right style="thin">
          <color rgb="FF000000"/>
        </right>
        <top style="thin">
          <color rgb="FF000000"/>
        </top>
        <bottom/>
      </border>
    </dxf>
    <dxf>
      <font>
        <b/>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2" tint="-9.9978637043366805E-2"/>
        </patternFill>
      </fill>
      <alignment horizontal="center" vertical="center" textRotation="0" wrapText="0" indent="0" justifyLastLine="0" shrinkToFit="0" readingOrder="0"/>
      <border diagonalUp="0" diagonalDown="0" outline="0">
        <left/>
        <right style="thin">
          <color rgb="FF000000"/>
        </right>
        <top style="thin">
          <color rgb="FF000000"/>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22" formatCode="mmm\-yy"/>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ill>
        <patternFill patternType="solid">
          <bgColor theme="3" tint="0.79998168889431442"/>
        </patternFill>
      </fill>
    </dxf>
    <dxf>
      <font>
        <color rgb="FF000000"/>
      </font>
      <alignment horizontal="center" vertical="center"/>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border diagonalUp="0" diagonalDown="0">
        <left style="thin">
          <color rgb="FF000000"/>
        </left>
        <right/>
        <top style="thin">
          <color rgb="FF000000"/>
        </top>
        <bottom/>
      </border>
    </dxf>
    <dxf>
      <font>
        <color rgb="FF000000"/>
      </font>
      <numFmt numFmtId="0" formatCode="General"/>
      <alignment horizontal="center" vertical="center"/>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border>
    </dxf>
    <dxf>
      <font>
        <color rgb="FF000000"/>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border>
    </dxf>
    <dxf>
      <font>
        <color rgb="FF000000"/>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border>
    </dxf>
    <dxf>
      <font>
        <color rgb="FF000000"/>
      </font>
      <alignment horizontal="center" vertical="center"/>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center" vertical="center"/>
      <border diagonalUp="0" diagonalDown="0">
        <left/>
        <right style="thin">
          <color rgb="FF000000"/>
        </right>
        <top style="thin">
          <color rgb="FF000000"/>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color rgb="FF000000"/>
      </font>
    </dxf>
    <dxf>
      <font>
        <b/>
        <i val="0"/>
        <strike val="0"/>
        <condense val="0"/>
        <extend val="0"/>
        <outline val="0"/>
        <shadow val="0"/>
        <u val="none"/>
        <vertAlign val="baseline"/>
        <sz val="10"/>
        <color rgb="FF000000"/>
        <name val="Arial"/>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10/relationships/person" Target="persons/perso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Evolución!$B$5</c:f>
              <c:strCache>
                <c:ptCount val="1"/>
                <c:pt idx="0">
                  <c:v>Indice de Incidencia </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Evolución!$C$3:$O$3</c:f>
              <c:strCache>
                <c:ptCount val="13"/>
                <c:pt idx="0">
                  <c:v>CABA</c:v>
                </c:pt>
                <c:pt idx="1">
                  <c:v>POBA</c:v>
                </c:pt>
                <c:pt idx="2">
                  <c:v>UBA</c:v>
                </c:pt>
                <c:pt idx="3">
                  <c:v>Bahía Blanca</c:v>
                </c:pt>
                <c:pt idx="4">
                  <c:v>Comirsa</c:v>
                </c:pt>
                <c:pt idx="5">
                  <c:v>Olavarría</c:v>
                </c:pt>
                <c:pt idx="6">
                  <c:v>Rio Colorado</c:v>
                </c:pt>
                <c:pt idx="7">
                  <c:v>Añelo</c:v>
                </c:pt>
                <c:pt idx="8">
                  <c:v>AESA</c:v>
                </c:pt>
                <c:pt idx="9">
                  <c:v>Rincon </c:v>
                </c:pt>
                <c:pt idx="10">
                  <c:v>Córdoba</c:v>
                </c:pt>
                <c:pt idx="11">
                  <c:v>San Luis</c:v>
                </c:pt>
                <c:pt idx="12">
                  <c:v>Salta</c:v>
                </c:pt>
              </c:strCache>
            </c:strRef>
          </c:cat>
          <c:val>
            <c:numRef>
              <c:f>Evolución!$C$5:$O$5</c:f>
              <c:numCache>
                <c:formatCode>0.00</c:formatCode>
                <c:ptCount val="13"/>
                <c:pt idx="0" formatCode="#,##0.00">
                  <c:v>0</c:v>
                </c:pt>
                <c:pt idx="1">
                  <c:v>82.474226804123717</c:v>
                </c:pt>
                <c:pt idx="2">
                  <c:v>0</c:v>
                </c:pt>
                <c:pt idx="3" formatCode="#,##0.00">
                  <c:v>0</c:v>
                </c:pt>
                <c:pt idx="4">
                  <c:v>0</c:v>
                </c:pt>
                <c:pt idx="5">
                  <c:v>0</c:v>
                </c:pt>
                <c:pt idx="6">
                  <c:v>0</c:v>
                </c:pt>
                <c:pt idx="7" formatCode="#,##0.00">
                  <c:v>0</c:v>
                </c:pt>
                <c:pt idx="8">
                  <c:v>0</c:v>
                </c:pt>
                <c:pt idx="9" formatCode="#,##0.00">
                  <c:v>23.972602739726028</c:v>
                </c:pt>
                <c:pt idx="10">
                  <c:v>0</c:v>
                </c:pt>
                <c:pt idx="11" formatCode="#,##0.00">
                  <c:v>81.632653061224488</c:v>
                </c:pt>
                <c:pt idx="12" formatCode="#,##0.00">
                  <c:v>133.33333333333334</c:v>
                </c:pt>
              </c:numCache>
            </c:numRef>
          </c:val>
          <c:extLst>
            <c:ext xmlns:c16="http://schemas.microsoft.com/office/drawing/2014/chart" uri="{C3380CC4-5D6E-409C-BE32-E72D297353CC}">
              <c16:uniqueId val="{00000003-2A3F-4C33-A5DC-4AEFCDF51594}"/>
            </c:ext>
          </c:extLst>
        </c:ser>
        <c:dLbls>
          <c:showLegendKey val="0"/>
          <c:showVal val="0"/>
          <c:showCatName val="0"/>
          <c:showSerName val="0"/>
          <c:showPercent val="0"/>
          <c:showBubbleSize val="0"/>
        </c:dLbls>
        <c:gapWidth val="219"/>
        <c:overlap val="-27"/>
        <c:axId val="213032464"/>
        <c:axId val="213032856"/>
      </c:barChart>
      <c:catAx>
        <c:axId val="21303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032856"/>
        <c:crosses val="autoZero"/>
        <c:auto val="1"/>
        <c:lblAlgn val="ctr"/>
        <c:lblOffset val="100"/>
        <c:noMultiLvlLbl val="0"/>
      </c:catAx>
      <c:valAx>
        <c:axId val="213032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47DE-4C31-8FB4-0C037089AD9D}"/>
            </c:ext>
          </c:extLst>
        </c:ser>
        <c:dLbls>
          <c:showLegendKey val="0"/>
          <c:showVal val="0"/>
          <c:showCatName val="0"/>
          <c:showSerName val="0"/>
          <c:showPercent val="0"/>
          <c:showBubbleSize val="0"/>
        </c:dLbls>
        <c:gapWidth val="200"/>
        <c:axId val="259987696"/>
        <c:axId val="259988872"/>
      </c:barChart>
      <c:catAx>
        <c:axId val="25998769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59988872"/>
        <c:crosses val="autoZero"/>
        <c:auto val="1"/>
        <c:lblAlgn val="ctr"/>
        <c:lblOffset val="100"/>
        <c:tickLblSkip val="1"/>
        <c:tickMarkSkip val="1"/>
        <c:noMultiLvlLbl val="0"/>
      </c:catAx>
      <c:valAx>
        <c:axId val="25998887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59987696"/>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86C5-43E1-BDD7-81E53B1805B9}"/>
            </c:ext>
          </c:extLst>
        </c:ser>
        <c:dLbls>
          <c:showLegendKey val="0"/>
          <c:showVal val="0"/>
          <c:showCatName val="0"/>
          <c:showSerName val="0"/>
          <c:showPercent val="0"/>
          <c:showBubbleSize val="0"/>
        </c:dLbls>
        <c:gapWidth val="200"/>
        <c:axId val="259984168"/>
        <c:axId val="259984952"/>
      </c:barChart>
      <c:catAx>
        <c:axId val="2599841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59984952"/>
        <c:crosses val="autoZero"/>
        <c:auto val="1"/>
        <c:lblAlgn val="ctr"/>
        <c:lblOffset val="100"/>
        <c:tickLblSkip val="1"/>
        <c:tickMarkSkip val="1"/>
        <c:noMultiLvlLbl val="0"/>
      </c:catAx>
      <c:valAx>
        <c:axId val="25998495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599841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'Añelo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'Añelo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'Añelo 2026'!$F$6:$F$19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3816-47EE-8279-1FB0AC775AF1}"/>
            </c:ext>
          </c:extLst>
        </c:ser>
        <c:dLbls>
          <c:showLegendKey val="0"/>
          <c:showVal val="0"/>
          <c:showCatName val="0"/>
          <c:showSerName val="0"/>
          <c:showPercent val="0"/>
          <c:showBubbleSize val="0"/>
        </c:dLbls>
        <c:gapWidth val="150"/>
        <c:axId val="259986128"/>
        <c:axId val="259986912"/>
      </c:barChart>
      <c:catAx>
        <c:axId val="259986128"/>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59986912"/>
        <c:crosses val="autoZero"/>
        <c:auto val="1"/>
        <c:lblAlgn val="ctr"/>
        <c:lblOffset val="100"/>
        <c:tickLblSkip val="1"/>
        <c:tickMarkSkip val="1"/>
        <c:noMultiLvlLbl val="0"/>
      </c:catAx>
      <c:valAx>
        <c:axId val="259986912"/>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59986128"/>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809D-4B4D-BCDC-3D9CC4BFD49D}"/>
            </c:ext>
          </c:extLst>
        </c:ser>
        <c:dLbls>
          <c:showLegendKey val="0"/>
          <c:showVal val="0"/>
          <c:showCatName val="0"/>
          <c:showSerName val="0"/>
          <c:showPercent val="0"/>
          <c:showBubbleSize val="0"/>
        </c:dLbls>
        <c:gapWidth val="200"/>
        <c:axId val="261936752"/>
        <c:axId val="261935184"/>
      </c:barChart>
      <c:catAx>
        <c:axId val="26193675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35184"/>
        <c:crosses val="autoZero"/>
        <c:auto val="1"/>
        <c:lblAlgn val="ctr"/>
        <c:lblOffset val="100"/>
        <c:tickLblSkip val="1"/>
        <c:tickMarkSkip val="1"/>
        <c:noMultiLvlLbl val="0"/>
      </c:catAx>
      <c:valAx>
        <c:axId val="2619351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3675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B38E-46F6-9A35-88B4DB1C4B71}"/>
            </c:ext>
          </c:extLst>
        </c:ser>
        <c:dLbls>
          <c:showLegendKey val="0"/>
          <c:showVal val="0"/>
          <c:showCatName val="0"/>
          <c:showSerName val="0"/>
          <c:showPercent val="0"/>
          <c:showBubbleSize val="0"/>
        </c:dLbls>
        <c:gapWidth val="200"/>
        <c:axId val="261939496"/>
        <c:axId val="261937536"/>
      </c:barChart>
      <c:catAx>
        <c:axId val="26193949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37536"/>
        <c:crosses val="autoZero"/>
        <c:auto val="1"/>
        <c:lblAlgn val="ctr"/>
        <c:lblOffset val="100"/>
        <c:tickLblSkip val="1"/>
        <c:tickMarkSkip val="1"/>
        <c:noMultiLvlLbl val="0"/>
      </c:catAx>
      <c:valAx>
        <c:axId val="261937536"/>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39496"/>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'Bahia Blanca (2)'!$A$6:$A$19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'Bahia Blanca (2)'!$A$6:$A$19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'Bahia Blanca (2)'!$F$6:$F$19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DF89-412E-8DD0-B1BE6510F93A}"/>
            </c:ext>
          </c:extLst>
        </c:ser>
        <c:dLbls>
          <c:showLegendKey val="0"/>
          <c:showVal val="0"/>
          <c:showCatName val="0"/>
          <c:showSerName val="0"/>
          <c:showPercent val="0"/>
          <c:showBubbleSize val="0"/>
        </c:dLbls>
        <c:gapWidth val="150"/>
        <c:axId val="261942240"/>
        <c:axId val="261937928"/>
      </c:barChart>
      <c:catAx>
        <c:axId val="261942240"/>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1937928"/>
        <c:crosses val="autoZero"/>
        <c:auto val="1"/>
        <c:lblAlgn val="ctr"/>
        <c:lblOffset val="100"/>
        <c:tickLblSkip val="1"/>
        <c:tickMarkSkip val="1"/>
        <c:noMultiLvlLbl val="0"/>
      </c:catAx>
      <c:valAx>
        <c:axId val="26193792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1942240"/>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4C92-49DD-8F49-DB93D4DE5281}"/>
            </c:ext>
          </c:extLst>
        </c:ser>
        <c:dLbls>
          <c:showLegendKey val="0"/>
          <c:showVal val="0"/>
          <c:showCatName val="0"/>
          <c:showSerName val="0"/>
          <c:showPercent val="0"/>
          <c:showBubbleSize val="0"/>
        </c:dLbls>
        <c:gapWidth val="200"/>
        <c:axId val="261942632"/>
        <c:axId val="261940280"/>
      </c:barChart>
      <c:catAx>
        <c:axId val="2619426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40280"/>
        <c:crosses val="autoZero"/>
        <c:auto val="1"/>
        <c:lblAlgn val="ctr"/>
        <c:lblOffset val="100"/>
        <c:tickLblSkip val="1"/>
        <c:tickMarkSkip val="1"/>
        <c:noMultiLvlLbl val="0"/>
      </c:catAx>
      <c:valAx>
        <c:axId val="26194028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426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8155-458A-9F7F-F1F351049CE0}"/>
            </c:ext>
          </c:extLst>
        </c:ser>
        <c:dLbls>
          <c:showLegendKey val="0"/>
          <c:showVal val="0"/>
          <c:showCatName val="0"/>
          <c:showSerName val="0"/>
          <c:showPercent val="0"/>
          <c:showBubbleSize val="0"/>
        </c:dLbls>
        <c:gapWidth val="200"/>
        <c:axId val="262850368"/>
        <c:axId val="262848408"/>
      </c:barChart>
      <c:catAx>
        <c:axId val="2628503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8408"/>
        <c:crosses val="autoZero"/>
        <c:auto val="1"/>
        <c:lblAlgn val="ctr"/>
        <c:lblOffset val="100"/>
        <c:tickLblSkip val="1"/>
        <c:tickMarkSkip val="1"/>
        <c:noMultiLvlLbl val="0"/>
      </c:catAx>
      <c:valAx>
        <c:axId val="2628484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503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'Casa Central (2)'!$A$6:$A$19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'Casa Central (2)'!$A$6:$A$19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'Casa Central (2)'!$F$6:$F$19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2400</c:v>
                </c:pt>
              </c:numCache>
            </c:numRef>
          </c:val>
          <c:extLst>
            <c:ext xmlns:c16="http://schemas.microsoft.com/office/drawing/2014/chart" uri="{C3380CC4-5D6E-409C-BE32-E72D297353CC}">
              <c16:uniqueId val="{00000000-66FD-4E8A-9A3F-48D53C44A1F6}"/>
            </c:ext>
          </c:extLst>
        </c:ser>
        <c:dLbls>
          <c:showLegendKey val="0"/>
          <c:showVal val="0"/>
          <c:showCatName val="0"/>
          <c:showSerName val="0"/>
          <c:showPercent val="0"/>
          <c:showBubbleSize val="0"/>
        </c:dLbls>
        <c:gapWidth val="150"/>
        <c:axId val="262847232"/>
        <c:axId val="262844488"/>
      </c:barChart>
      <c:catAx>
        <c:axId val="2628472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2844488"/>
        <c:crosses val="autoZero"/>
        <c:auto val="1"/>
        <c:lblAlgn val="ctr"/>
        <c:lblOffset val="100"/>
        <c:tickLblSkip val="1"/>
        <c:tickMarkSkip val="1"/>
        <c:noMultiLvlLbl val="0"/>
      </c:catAx>
      <c:valAx>
        <c:axId val="26284448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28472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3074-40F8-8559-32F7E1B069F7}"/>
            </c:ext>
          </c:extLst>
        </c:ser>
        <c:dLbls>
          <c:showLegendKey val="0"/>
          <c:showVal val="0"/>
          <c:showCatName val="0"/>
          <c:showSerName val="0"/>
          <c:showPercent val="0"/>
          <c:showBubbleSize val="0"/>
        </c:dLbls>
        <c:gapWidth val="200"/>
        <c:axId val="261942632"/>
        <c:axId val="261940280"/>
      </c:barChart>
      <c:catAx>
        <c:axId val="2619426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40280"/>
        <c:crosses val="autoZero"/>
        <c:auto val="1"/>
        <c:lblAlgn val="ctr"/>
        <c:lblOffset val="100"/>
        <c:tickLblSkip val="1"/>
        <c:tickMarkSkip val="1"/>
        <c:noMultiLvlLbl val="0"/>
      </c:catAx>
      <c:valAx>
        <c:axId val="26194028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426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2CDE-41E1-A2EE-DAB779E7261C}"/>
            </c:ext>
          </c:extLst>
        </c:ser>
        <c:dLbls>
          <c:showLegendKey val="0"/>
          <c:showVal val="0"/>
          <c:showCatName val="0"/>
          <c:showSerName val="0"/>
          <c:showPercent val="0"/>
          <c:showBubbleSize val="0"/>
        </c:dLbls>
        <c:gapWidth val="200"/>
        <c:axId val="262850368"/>
        <c:axId val="262848408"/>
      </c:barChart>
      <c:catAx>
        <c:axId val="2628503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8408"/>
        <c:crosses val="autoZero"/>
        <c:auto val="1"/>
        <c:lblAlgn val="ctr"/>
        <c:lblOffset val="100"/>
        <c:tickLblSkip val="1"/>
        <c:tickMarkSkip val="1"/>
        <c:noMultiLvlLbl val="0"/>
      </c:catAx>
      <c:valAx>
        <c:axId val="2628484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503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'Casa Central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'Casa Central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'Casa Central 2026'!$F$6:$F$19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8A41-4E41-912C-73B9DAA452D0}"/>
            </c:ext>
          </c:extLst>
        </c:ser>
        <c:dLbls>
          <c:showLegendKey val="0"/>
          <c:showVal val="0"/>
          <c:showCatName val="0"/>
          <c:showSerName val="0"/>
          <c:showPercent val="0"/>
          <c:showBubbleSize val="0"/>
        </c:dLbls>
        <c:gapWidth val="150"/>
        <c:axId val="262847232"/>
        <c:axId val="262844488"/>
      </c:barChart>
      <c:catAx>
        <c:axId val="2628472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2844488"/>
        <c:crosses val="autoZero"/>
        <c:auto val="1"/>
        <c:lblAlgn val="ctr"/>
        <c:lblOffset val="100"/>
        <c:tickLblSkip val="1"/>
        <c:tickMarkSkip val="1"/>
        <c:noMultiLvlLbl val="0"/>
      </c:catAx>
      <c:valAx>
        <c:axId val="26284448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28472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3A20-443F-A552-6DD041826852}"/>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'AESA (Punta Arena)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'AESA (Punta Arena)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'AESA (Punta Arena) 2026'!$F$6:$F$19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EADD-477A-97D6-C8281E6C1F25}"/>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F728-4187-946C-E4E045AECC7B}"/>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'POBA -25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'POBA -25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'POBA -25 2026'!$F$6:$F$19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9ECC-4CB2-B675-468AE59A6B94}"/>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9109-4556-81EF-838F06411547}"/>
            </c:ext>
          </c:extLst>
        </c:ser>
        <c:dLbls>
          <c:showLegendKey val="0"/>
          <c:showVal val="0"/>
          <c:showCatName val="0"/>
          <c:showSerName val="0"/>
          <c:showPercent val="0"/>
          <c:showBubbleSize val="0"/>
        </c:dLbls>
        <c:gapWidth val="200"/>
        <c:axId val="213031288"/>
        <c:axId val="213035600"/>
      </c:barChart>
      <c:catAx>
        <c:axId val="21303128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5600"/>
        <c:crosses val="autoZero"/>
        <c:auto val="1"/>
        <c:lblAlgn val="ctr"/>
        <c:lblOffset val="100"/>
        <c:tickLblSkip val="1"/>
        <c:tickMarkSkip val="1"/>
        <c:noMultiLvlLbl val="0"/>
      </c:catAx>
      <c:valAx>
        <c:axId val="21303560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128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68"/>
          <c:y val="3.0434814914672776E-2"/>
        </c:manualLayout>
      </c:layout>
      <c:overlay val="0"/>
      <c:spPr>
        <a:noFill/>
        <a:ln w="25400">
          <a:noFill/>
        </a:ln>
      </c:spPr>
    </c:title>
    <c:autoTitleDeleted val="0"/>
    <c:plotArea>
      <c:layout>
        <c:manualLayout>
          <c:layoutTarget val="inner"/>
          <c:xMode val="edge"/>
          <c:yMode val="edge"/>
          <c:x val="0.11459977387271716"/>
          <c:y val="0.15000015922231574"/>
          <c:w val="0.86342295383554035"/>
          <c:h val="0.6717398434738493"/>
        </c:manualLayout>
      </c:layout>
      <c:barChart>
        <c:barDir val="col"/>
        <c:grouping val="clustered"/>
        <c:varyColors val="0"/>
        <c:ser>
          <c:idx val="0"/>
          <c:order val="0"/>
          <c:tx>
            <c:strRef>
              <c:f>'Rincon de Aranda 2026'!$F$4</c:f>
              <c:strCache>
                <c:ptCount val="1"/>
                <c:pt idx="0">
                  <c:v>Indice de I</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'Rincon de Aranda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'Rincon de Aranda 2026'!$F$6:$F$19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1F1E-483B-A437-B361C8633083}"/>
            </c:ext>
          </c:extLst>
        </c:ser>
        <c:dLbls>
          <c:showLegendKey val="0"/>
          <c:showVal val="0"/>
          <c:showCatName val="0"/>
          <c:showSerName val="0"/>
          <c:showPercent val="0"/>
          <c:showBubbleSize val="0"/>
        </c:dLbls>
        <c:gapWidth val="150"/>
        <c:axId val="213033248"/>
        <c:axId val="213034816"/>
      </c:barChart>
      <c:catAx>
        <c:axId val="213033248"/>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764559339248438"/>
              <c:y val="0.91956619349332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3034816"/>
        <c:crosses val="autoZero"/>
        <c:auto val="1"/>
        <c:lblAlgn val="ctr"/>
        <c:lblOffset val="100"/>
        <c:tickLblSkip val="1"/>
        <c:tickMarkSkip val="1"/>
        <c:noMultiLvlLbl val="0"/>
      </c:catAx>
      <c:valAx>
        <c:axId val="21303481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07E-2"/>
              <c:y val="0.4369569855606592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3033248"/>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571B-402B-A2EB-26A53D5658B8}"/>
            </c:ext>
          </c:extLst>
        </c:ser>
        <c:dLbls>
          <c:showLegendKey val="0"/>
          <c:showVal val="0"/>
          <c:showCatName val="0"/>
          <c:showSerName val="0"/>
          <c:showPercent val="0"/>
          <c:showBubbleSize val="0"/>
        </c:dLbls>
        <c:gapWidth val="200"/>
        <c:axId val="215550144"/>
        <c:axId val="215543872"/>
      </c:barChart>
      <c:catAx>
        <c:axId val="21555014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543872"/>
        <c:crosses val="autoZero"/>
        <c:auto val="1"/>
        <c:lblAlgn val="ctr"/>
        <c:lblOffset val="100"/>
        <c:tickLblSkip val="1"/>
        <c:tickMarkSkip val="1"/>
        <c:noMultiLvlLbl val="0"/>
      </c:catAx>
      <c:valAx>
        <c:axId val="21554387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55014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C5FB-4EAA-BAF5-13997D272F1E}"/>
            </c:ext>
          </c:extLst>
        </c:ser>
        <c:dLbls>
          <c:showLegendKey val="0"/>
          <c:showVal val="0"/>
          <c:showCatName val="0"/>
          <c:showSerName val="0"/>
          <c:showPercent val="0"/>
          <c:showBubbleSize val="0"/>
        </c:dLbls>
        <c:gapWidth val="200"/>
        <c:axId val="215547792"/>
        <c:axId val="215544264"/>
      </c:barChart>
      <c:catAx>
        <c:axId val="21554779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544264"/>
        <c:crosses val="autoZero"/>
        <c:auto val="1"/>
        <c:lblAlgn val="ctr"/>
        <c:lblOffset val="100"/>
        <c:tickLblSkip val="1"/>
        <c:tickMarkSkip val="1"/>
        <c:noMultiLvlLbl val="0"/>
      </c:catAx>
      <c:valAx>
        <c:axId val="21554426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54779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'Ricon de los Sauces 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'Ricon de los Sauces 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'Ricon de los Sauces 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C601-4A49-9578-F78362385BF3}"/>
            </c:ext>
          </c:extLst>
        </c:ser>
        <c:dLbls>
          <c:showLegendKey val="0"/>
          <c:showVal val="0"/>
          <c:showCatName val="0"/>
          <c:showSerName val="0"/>
          <c:showPercent val="0"/>
          <c:showBubbleSize val="0"/>
        </c:dLbls>
        <c:gapWidth val="150"/>
        <c:axId val="215549752"/>
        <c:axId val="215544656"/>
      </c:barChart>
      <c:catAx>
        <c:axId val="21554975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544656"/>
        <c:crosses val="autoZero"/>
        <c:auto val="1"/>
        <c:lblAlgn val="ctr"/>
        <c:lblOffset val="100"/>
        <c:tickLblSkip val="1"/>
        <c:tickMarkSkip val="1"/>
        <c:noMultiLvlLbl val="0"/>
      </c:catAx>
      <c:valAx>
        <c:axId val="21554465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54975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135A-48DA-B7BC-5C2A9FF8B143}"/>
            </c:ext>
          </c:extLst>
        </c:ser>
        <c:dLbls>
          <c:showLegendKey val="0"/>
          <c:showVal val="0"/>
          <c:showCatName val="0"/>
          <c:showSerName val="0"/>
          <c:showPercent val="0"/>
          <c:showBubbleSize val="0"/>
        </c:dLbls>
        <c:gapWidth val="200"/>
        <c:axId val="213031288"/>
        <c:axId val="213035600"/>
      </c:barChart>
      <c:catAx>
        <c:axId val="21303128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5600"/>
        <c:crosses val="autoZero"/>
        <c:auto val="1"/>
        <c:lblAlgn val="ctr"/>
        <c:lblOffset val="100"/>
        <c:tickLblSkip val="1"/>
        <c:tickMarkSkip val="1"/>
        <c:noMultiLvlLbl val="0"/>
      </c:catAx>
      <c:valAx>
        <c:axId val="21303560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128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68"/>
          <c:y val="3.0434814914672776E-2"/>
        </c:manualLayout>
      </c:layout>
      <c:overlay val="0"/>
      <c:spPr>
        <a:noFill/>
        <a:ln w="25400">
          <a:noFill/>
        </a:ln>
      </c:spPr>
    </c:title>
    <c:autoTitleDeleted val="0"/>
    <c:plotArea>
      <c:layout>
        <c:manualLayout>
          <c:layoutTarget val="inner"/>
          <c:xMode val="edge"/>
          <c:yMode val="edge"/>
          <c:x val="0.11459977387271716"/>
          <c:y val="0.15000015922231574"/>
          <c:w val="0.86342295383554035"/>
          <c:h val="0.6717398434738493"/>
        </c:manualLayout>
      </c:layout>
      <c:barChart>
        <c:barDir val="col"/>
        <c:grouping val="clustered"/>
        <c:varyColors val="0"/>
        <c:ser>
          <c:idx val="0"/>
          <c:order val="0"/>
          <c:tx>
            <c:strRef>
              <c:f>'Comirsa 26'!$F$4</c:f>
              <c:strCache>
                <c:ptCount val="1"/>
                <c:pt idx="0">
                  <c:v>Indice de I</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'Comirsa 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'Comirsa 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5B9A-492F-9873-5E9DC5D6553D}"/>
            </c:ext>
          </c:extLst>
        </c:ser>
        <c:dLbls>
          <c:showLegendKey val="0"/>
          <c:showVal val="0"/>
          <c:showCatName val="0"/>
          <c:showSerName val="0"/>
          <c:showPercent val="0"/>
          <c:showBubbleSize val="0"/>
        </c:dLbls>
        <c:gapWidth val="150"/>
        <c:axId val="213033248"/>
        <c:axId val="213034816"/>
      </c:barChart>
      <c:catAx>
        <c:axId val="213033248"/>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764559339248438"/>
              <c:y val="0.91956619349332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3034816"/>
        <c:crosses val="autoZero"/>
        <c:auto val="1"/>
        <c:lblAlgn val="ctr"/>
        <c:lblOffset val="100"/>
        <c:tickLblSkip val="1"/>
        <c:tickMarkSkip val="1"/>
        <c:noMultiLvlLbl val="0"/>
      </c:catAx>
      <c:valAx>
        <c:axId val="21303481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07E-2"/>
              <c:y val="0.4369569855606592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3033248"/>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C233-49F1-9459-04CDACAF0440}"/>
            </c:ext>
          </c:extLst>
        </c:ser>
        <c:dLbls>
          <c:showLegendKey val="0"/>
          <c:showVal val="0"/>
          <c:showCatName val="0"/>
          <c:showSerName val="0"/>
          <c:showPercent val="0"/>
          <c:showBubbleSize val="0"/>
        </c:dLbls>
        <c:gapWidth val="200"/>
        <c:axId val="261942632"/>
        <c:axId val="261940280"/>
      </c:barChart>
      <c:catAx>
        <c:axId val="2619426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40280"/>
        <c:crosses val="autoZero"/>
        <c:auto val="1"/>
        <c:lblAlgn val="ctr"/>
        <c:lblOffset val="100"/>
        <c:tickLblSkip val="1"/>
        <c:tickMarkSkip val="1"/>
        <c:noMultiLvlLbl val="0"/>
      </c:catAx>
      <c:valAx>
        <c:axId val="26194028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426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DDCC-48E2-B5BC-9C5EC55B56E2}"/>
            </c:ext>
          </c:extLst>
        </c:ser>
        <c:dLbls>
          <c:showLegendKey val="0"/>
          <c:showVal val="0"/>
          <c:showCatName val="0"/>
          <c:showSerName val="0"/>
          <c:showPercent val="0"/>
          <c:showBubbleSize val="0"/>
        </c:dLbls>
        <c:gapWidth val="200"/>
        <c:axId val="262850368"/>
        <c:axId val="262848408"/>
      </c:barChart>
      <c:catAx>
        <c:axId val="2628503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8408"/>
        <c:crosses val="autoZero"/>
        <c:auto val="1"/>
        <c:lblAlgn val="ctr"/>
        <c:lblOffset val="100"/>
        <c:tickLblSkip val="1"/>
        <c:tickMarkSkip val="1"/>
        <c:noMultiLvlLbl val="0"/>
      </c:catAx>
      <c:valAx>
        <c:axId val="2628484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503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'Blanca Luna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'Blanca Luna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'Blanca Luna 2026'!$F$6:$F$19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FCFF-42E9-9530-22E2EBAC1385}"/>
            </c:ext>
          </c:extLst>
        </c:ser>
        <c:dLbls>
          <c:showLegendKey val="0"/>
          <c:showVal val="0"/>
          <c:showCatName val="0"/>
          <c:showSerName val="0"/>
          <c:showPercent val="0"/>
          <c:showBubbleSize val="0"/>
        </c:dLbls>
        <c:gapWidth val="150"/>
        <c:axId val="262847232"/>
        <c:axId val="262844488"/>
      </c:barChart>
      <c:catAx>
        <c:axId val="2628472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2844488"/>
        <c:crosses val="autoZero"/>
        <c:auto val="1"/>
        <c:lblAlgn val="ctr"/>
        <c:lblOffset val="100"/>
        <c:tickLblSkip val="1"/>
        <c:tickMarkSkip val="1"/>
        <c:noMultiLvlLbl val="0"/>
      </c:catAx>
      <c:valAx>
        <c:axId val="26284448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28472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B533-4C74-A49E-715AB596ABF3}"/>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'PK327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'PK327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'PK327 2026'!$F$6:$F$19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938D-4B82-B8DB-2F143927F9EE}"/>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A986-4738-AB77-A988E512868C}"/>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'Los Toldos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'Los Toldos 2026'!$A$6:$A$19</c:f>
              <c:strCache>
                <c:ptCount val="14"/>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3">
                  <c:v>Total/Prom</c:v>
                </c:pt>
              </c:strCache>
            </c:strRef>
          </c:cat>
          <c:val>
            <c:numRef>
              <c:f>'Los Toldos 2026'!$F$6:$F$19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3643-4569-AEBD-73C0F6ACAF04}"/>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695C-46AE-AD7F-0ACB5FF9FD66}"/>
            </c:ext>
          </c:extLst>
        </c:ser>
        <c:dLbls>
          <c:showLegendKey val="0"/>
          <c:showVal val="0"/>
          <c:showCatName val="0"/>
          <c:showSerName val="0"/>
          <c:showPercent val="0"/>
          <c:showBubbleSize val="0"/>
        </c:dLbls>
        <c:gapWidth val="200"/>
        <c:axId val="259987696"/>
        <c:axId val="259988872"/>
      </c:barChart>
      <c:catAx>
        <c:axId val="25998769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59988872"/>
        <c:crosses val="autoZero"/>
        <c:auto val="1"/>
        <c:lblAlgn val="ctr"/>
        <c:lblOffset val="100"/>
        <c:tickLblSkip val="1"/>
        <c:tickMarkSkip val="1"/>
        <c:noMultiLvlLbl val="0"/>
      </c:catAx>
      <c:valAx>
        <c:axId val="25998887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59987696"/>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9D26-47E7-9933-5B33F981C908}"/>
            </c:ext>
          </c:extLst>
        </c:ser>
        <c:dLbls>
          <c:showLegendKey val="0"/>
          <c:showVal val="0"/>
          <c:showCatName val="0"/>
          <c:showSerName val="0"/>
          <c:showPercent val="0"/>
          <c:showBubbleSize val="0"/>
        </c:dLbls>
        <c:gapWidth val="200"/>
        <c:axId val="259984168"/>
        <c:axId val="259984952"/>
      </c:barChart>
      <c:catAx>
        <c:axId val="2599841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59984952"/>
        <c:crosses val="autoZero"/>
        <c:auto val="1"/>
        <c:lblAlgn val="ctr"/>
        <c:lblOffset val="100"/>
        <c:tickLblSkip val="1"/>
        <c:tickMarkSkip val="1"/>
        <c:noMultiLvlLbl val="0"/>
      </c:catAx>
      <c:valAx>
        <c:axId val="25998495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599841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Añelo!$A$6:$A$19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Añelo!$A$6:$A$19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Añelo!$F$6:$F$19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FEF2-44C6-8525-34318B6657BD}"/>
            </c:ext>
          </c:extLst>
        </c:ser>
        <c:dLbls>
          <c:showLegendKey val="0"/>
          <c:showVal val="0"/>
          <c:showCatName val="0"/>
          <c:showSerName val="0"/>
          <c:showPercent val="0"/>
          <c:showBubbleSize val="0"/>
        </c:dLbls>
        <c:gapWidth val="150"/>
        <c:axId val="259986128"/>
        <c:axId val="259986912"/>
      </c:barChart>
      <c:catAx>
        <c:axId val="259986128"/>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59986912"/>
        <c:crosses val="autoZero"/>
        <c:auto val="1"/>
        <c:lblAlgn val="ctr"/>
        <c:lblOffset val="100"/>
        <c:tickLblSkip val="1"/>
        <c:tickMarkSkip val="1"/>
        <c:noMultiLvlLbl val="0"/>
      </c:catAx>
      <c:valAx>
        <c:axId val="259986912"/>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59986128"/>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4DDC-42BC-A82F-C073384E5E60}"/>
            </c:ext>
          </c:extLst>
        </c:ser>
        <c:dLbls>
          <c:showLegendKey val="0"/>
          <c:showVal val="0"/>
          <c:showCatName val="0"/>
          <c:showSerName val="0"/>
          <c:showPercent val="0"/>
          <c:showBubbleSize val="0"/>
        </c:dLbls>
        <c:gapWidth val="200"/>
        <c:axId val="261936752"/>
        <c:axId val="261935184"/>
      </c:barChart>
      <c:catAx>
        <c:axId val="26193675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35184"/>
        <c:crosses val="autoZero"/>
        <c:auto val="1"/>
        <c:lblAlgn val="ctr"/>
        <c:lblOffset val="100"/>
        <c:tickLblSkip val="1"/>
        <c:tickMarkSkip val="1"/>
        <c:noMultiLvlLbl val="0"/>
      </c:catAx>
      <c:valAx>
        <c:axId val="2619351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3675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EE36-4ACD-915D-9E0E2F3BD3BD}"/>
            </c:ext>
          </c:extLst>
        </c:ser>
        <c:dLbls>
          <c:showLegendKey val="0"/>
          <c:showVal val="0"/>
          <c:showCatName val="0"/>
          <c:showSerName val="0"/>
          <c:showPercent val="0"/>
          <c:showBubbleSize val="0"/>
        </c:dLbls>
        <c:gapWidth val="200"/>
        <c:axId val="261939496"/>
        <c:axId val="261937536"/>
      </c:barChart>
      <c:catAx>
        <c:axId val="26193949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37536"/>
        <c:crosses val="autoZero"/>
        <c:auto val="1"/>
        <c:lblAlgn val="ctr"/>
        <c:lblOffset val="100"/>
        <c:tickLblSkip val="1"/>
        <c:tickMarkSkip val="1"/>
        <c:noMultiLvlLbl val="0"/>
      </c:catAx>
      <c:valAx>
        <c:axId val="261937536"/>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39496"/>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'Bahia Blanca'!$A$6:$A$19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'Bahia Blanca'!$A$6:$A$19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'Bahia Blanca'!$F$6:$F$19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B4A8-43B4-B7FA-4E873861F2CB}"/>
            </c:ext>
          </c:extLst>
        </c:ser>
        <c:dLbls>
          <c:showLegendKey val="0"/>
          <c:showVal val="0"/>
          <c:showCatName val="0"/>
          <c:showSerName val="0"/>
          <c:showPercent val="0"/>
          <c:showBubbleSize val="0"/>
        </c:dLbls>
        <c:gapWidth val="150"/>
        <c:axId val="261942240"/>
        <c:axId val="261937928"/>
      </c:barChart>
      <c:catAx>
        <c:axId val="261942240"/>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1937928"/>
        <c:crosses val="autoZero"/>
        <c:auto val="1"/>
        <c:lblAlgn val="ctr"/>
        <c:lblOffset val="100"/>
        <c:tickLblSkip val="1"/>
        <c:tickMarkSkip val="1"/>
        <c:noMultiLvlLbl val="0"/>
      </c:catAx>
      <c:valAx>
        <c:axId val="26193792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1942240"/>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DA1B-4D48-A6BC-FB831EAA4AAE}"/>
            </c:ext>
          </c:extLst>
        </c:ser>
        <c:dLbls>
          <c:showLegendKey val="0"/>
          <c:showVal val="0"/>
          <c:showCatName val="0"/>
          <c:showSerName val="0"/>
          <c:showPercent val="0"/>
          <c:showBubbleSize val="0"/>
        </c:dLbls>
        <c:gapWidth val="200"/>
        <c:axId val="261942632"/>
        <c:axId val="261940280"/>
      </c:barChart>
      <c:catAx>
        <c:axId val="2619426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40280"/>
        <c:crosses val="autoZero"/>
        <c:auto val="1"/>
        <c:lblAlgn val="ctr"/>
        <c:lblOffset val="100"/>
        <c:tickLblSkip val="1"/>
        <c:tickMarkSkip val="1"/>
        <c:noMultiLvlLbl val="0"/>
      </c:catAx>
      <c:valAx>
        <c:axId val="26194028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426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E1CA-4558-967D-B8FD997CECF1}"/>
            </c:ext>
          </c:extLst>
        </c:ser>
        <c:dLbls>
          <c:showLegendKey val="0"/>
          <c:showVal val="0"/>
          <c:showCatName val="0"/>
          <c:showSerName val="0"/>
          <c:showPercent val="0"/>
          <c:showBubbleSize val="0"/>
        </c:dLbls>
        <c:gapWidth val="200"/>
        <c:axId val="262850368"/>
        <c:axId val="262848408"/>
      </c:barChart>
      <c:catAx>
        <c:axId val="2628503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8408"/>
        <c:crosses val="autoZero"/>
        <c:auto val="1"/>
        <c:lblAlgn val="ctr"/>
        <c:lblOffset val="100"/>
        <c:tickLblSkip val="1"/>
        <c:tickMarkSkip val="1"/>
        <c:noMultiLvlLbl val="0"/>
      </c:catAx>
      <c:valAx>
        <c:axId val="2628484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503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'Casa Central'!$A$6:$A$19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'Casa Central'!$A$6:$A$19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'Casa Central'!$F$6:$F$19</c:f>
              <c:numCache>
                <c:formatCode>#,##0.00</c:formatCode>
                <c:ptCount val="14"/>
                <c:pt idx="0">
                  <c:v>0</c:v>
                </c:pt>
                <c:pt idx="1">
                  <c:v>0</c:v>
                </c:pt>
                <c:pt idx="2">
                  <c:v>0</c:v>
                </c:pt>
                <c:pt idx="3">
                  <c:v>0</c:v>
                </c:pt>
                <c:pt idx="4">
                  <c:v>0</c:v>
                </c:pt>
                <c:pt idx="5">
                  <c:v>0</c:v>
                </c:pt>
                <c:pt idx="6">
                  <c:v>17.241379310344829</c:v>
                </c:pt>
                <c:pt idx="7">
                  <c:v>0</c:v>
                </c:pt>
                <c:pt idx="8">
                  <c:v>0</c:v>
                </c:pt>
                <c:pt idx="9">
                  <c:v>0</c:v>
                </c:pt>
                <c:pt idx="10">
                  <c:v>0</c:v>
                </c:pt>
                <c:pt idx="11">
                  <c:v>0</c:v>
                </c:pt>
                <c:pt idx="13">
                  <c:v>15.768725361366624</c:v>
                </c:pt>
              </c:numCache>
            </c:numRef>
          </c:val>
          <c:extLst>
            <c:ext xmlns:c16="http://schemas.microsoft.com/office/drawing/2014/chart" uri="{C3380CC4-5D6E-409C-BE32-E72D297353CC}">
              <c16:uniqueId val="{00000000-3165-4874-9D73-C616F4B37AE2}"/>
            </c:ext>
          </c:extLst>
        </c:ser>
        <c:dLbls>
          <c:showLegendKey val="0"/>
          <c:showVal val="0"/>
          <c:showCatName val="0"/>
          <c:showSerName val="0"/>
          <c:showPercent val="0"/>
          <c:showBubbleSize val="0"/>
        </c:dLbls>
        <c:gapWidth val="150"/>
        <c:axId val="262847232"/>
        <c:axId val="262844488"/>
      </c:barChart>
      <c:catAx>
        <c:axId val="2628472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2844488"/>
        <c:crosses val="autoZero"/>
        <c:auto val="1"/>
        <c:lblAlgn val="ctr"/>
        <c:lblOffset val="100"/>
        <c:tickLblSkip val="1"/>
        <c:tickMarkSkip val="1"/>
        <c:noMultiLvlLbl val="0"/>
      </c:catAx>
      <c:valAx>
        <c:axId val="26284448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28472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CFBE-44C6-BF89-255B279F1925}"/>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'AESA (Punta Arena)'!$A$6:$A$19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'AESA (Punta Arena)'!$A$6:$A$19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'AESA (Punta Arena)'!$F$6:$F$19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443E-41A3-8A82-84A5C32C5BE4}"/>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0AE6-45CB-93DA-368072505F7F}"/>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'POBA -25'!$A$6:$A$19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'POBA -25'!$A$6:$A$19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'POBA -25'!$F$6:$F$19</c:f>
              <c:numCache>
                <c:formatCode>#,##0.00</c:formatCode>
                <c:ptCount val="14"/>
                <c:pt idx="0">
                  <c:v>0</c:v>
                </c:pt>
                <c:pt idx="1">
                  <c:v>0</c:v>
                </c:pt>
                <c:pt idx="2">
                  <c:v>0</c:v>
                </c:pt>
                <c:pt idx="3">
                  <c:v>0</c:v>
                </c:pt>
                <c:pt idx="4">
                  <c:v>0</c:v>
                </c:pt>
                <c:pt idx="5">
                  <c:v>76.92307692307692</c:v>
                </c:pt>
                <c:pt idx="6">
                  <c:v>0</c:v>
                </c:pt>
                <c:pt idx="7">
                  <c:v>0</c:v>
                </c:pt>
                <c:pt idx="8">
                  <c:v>0</c:v>
                </c:pt>
                <c:pt idx="9">
                  <c:v>0</c:v>
                </c:pt>
                <c:pt idx="10">
                  <c:v>0</c:v>
                </c:pt>
                <c:pt idx="11">
                  <c:v>0</c:v>
                </c:pt>
                <c:pt idx="13">
                  <c:v>82.474226804123717</c:v>
                </c:pt>
              </c:numCache>
            </c:numRef>
          </c:val>
          <c:extLst>
            <c:ext xmlns:c16="http://schemas.microsoft.com/office/drawing/2014/chart" uri="{C3380CC4-5D6E-409C-BE32-E72D297353CC}">
              <c16:uniqueId val="{00000000-F514-4460-A805-9D195939CD49}"/>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A770-485C-886A-89868C315877}"/>
            </c:ext>
          </c:extLst>
        </c:ser>
        <c:dLbls>
          <c:showLegendKey val="0"/>
          <c:showVal val="0"/>
          <c:showCatName val="0"/>
          <c:showSerName val="0"/>
          <c:showPercent val="0"/>
          <c:showBubbleSize val="0"/>
        </c:dLbls>
        <c:gapWidth val="200"/>
        <c:axId val="213031288"/>
        <c:axId val="213035600"/>
      </c:barChart>
      <c:catAx>
        <c:axId val="21303128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5600"/>
        <c:crosses val="autoZero"/>
        <c:auto val="1"/>
        <c:lblAlgn val="ctr"/>
        <c:lblOffset val="100"/>
        <c:tickLblSkip val="1"/>
        <c:tickMarkSkip val="1"/>
        <c:noMultiLvlLbl val="0"/>
      </c:catAx>
      <c:valAx>
        <c:axId val="21303560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128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68"/>
          <c:y val="3.0434814914672776E-2"/>
        </c:manualLayout>
      </c:layout>
      <c:overlay val="0"/>
      <c:spPr>
        <a:noFill/>
        <a:ln w="25400">
          <a:noFill/>
        </a:ln>
      </c:spPr>
    </c:title>
    <c:autoTitleDeleted val="0"/>
    <c:plotArea>
      <c:layout>
        <c:manualLayout>
          <c:layoutTarget val="inner"/>
          <c:xMode val="edge"/>
          <c:yMode val="edge"/>
          <c:x val="0.11459977387271716"/>
          <c:y val="0.15000015922231574"/>
          <c:w val="0.86342295383554035"/>
          <c:h val="0.6717398434738493"/>
        </c:manualLayout>
      </c:layout>
      <c:barChart>
        <c:barDir val="col"/>
        <c:grouping val="clustered"/>
        <c:varyColors val="0"/>
        <c:ser>
          <c:idx val="0"/>
          <c:order val="0"/>
          <c:tx>
            <c:strRef>
              <c:f>'Rincon de Aranda'!$F$4</c:f>
              <c:strCache>
                <c:ptCount val="1"/>
                <c:pt idx="0">
                  <c:v>Indice de I</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'Rincon de Aranda'!$A$6:$A$19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'Rincon de Aranda'!$F$6:$F$19</c:f>
              <c:numCache>
                <c:formatCode>#,##0.00</c:formatCode>
                <c:ptCount val="14"/>
                <c:pt idx="0">
                  <c:v>0</c:v>
                </c:pt>
                <c:pt idx="1">
                  <c:v>0</c:v>
                </c:pt>
                <c:pt idx="2">
                  <c:v>0</c:v>
                </c:pt>
                <c:pt idx="3">
                  <c:v>0</c:v>
                </c:pt>
                <c:pt idx="4">
                  <c:v>0</c:v>
                </c:pt>
                <c:pt idx="5">
                  <c:v>0</c:v>
                </c:pt>
                <c:pt idx="6">
                  <c:v>0</c:v>
                </c:pt>
                <c:pt idx="7">
                  <c:v>0</c:v>
                </c:pt>
                <c:pt idx="8">
                  <c:v>0</c:v>
                </c:pt>
                <c:pt idx="9">
                  <c:v>0</c:v>
                </c:pt>
                <c:pt idx="10">
                  <c:v>285.71428571428572</c:v>
                </c:pt>
                <c:pt idx="11">
                  <c:v>0</c:v>
                </c:pt>
                <c:pt idx="13">
                  <c:v>39.735099337748345</c:v>
                </c:pt>
              </c:numCache>
            </c:numRef>
          </c:val>
          <c:extLst>
            <c:ext xmlns:c16="http://schemas.microsoft.com/office/drawing/2014/chart" uri="{C3380CC4-5D6E-409C-BE32-E72D297353CC}">
              <c16:uniqueId val="{00000000-C8E6-463F-8DA2-6C37F86BA7B1}"/>
            </c:ext>
          </c:extLst>
        </c:ser>
        <c:dLbls>
          <c:showLegendKey val="0"/>
          <c:showVal val="0"/>
          <c:showCatName val="0"/>
          <c:showSerName val="0"/>
          <c:showPercent val="0"/>
          <c:showBubbleSize val="0"/>
        </c:dLbls>
        <c:gapWidth val="150"/>
        <c:axId val="213033248"/>
        <c:axId val="213034816"/>
      </c:barChart>
      <c:catAx>
        <c:axId val="213033248"/>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764559339248438"/>
              <c:y val="0.91956619349332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3034816"/>
        <c:crosses val="autoZero"/>
        <c:auto val="1"/>
        <c:lblAlgn val="ctr"/>
        <c:lblOffset val="100"/>
        <c:tickLblSkip val="1"/>
        <c:tickMarkSkip val="1"/>
        <c:noMultiLvlLbl val="0"/>
      </c:catAx>
      <c:valAx>
        <c:axId val="21303481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07E-2"/>
              <c:y val="0.4369569855606592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3033248"/>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669A-4244-86D8-E20930F7F6AE}"/>
            </c:ext>
          </c:extLst>
        </c:ser>
        <c:dLbls>
          <c:showLegendKey val="0"/>
          <c:showVal val="0"/>
          <c:showCatName val="0"/>
          <c:showSerName val="0"/>
          <c:showPercent val="0"/>
          <c:showBubbleSize val="0"/>
        </c:dLbls>
        <c:gapWidth val="200"/>
        <c:axId val="215550144"/>
        <c:axId val="215543872"/>
      </c:barChart>
      <c:catAx>
        <c:axId val="21555014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543872"/>
        <c:crosses val="autoZero"/>
        <c:auto val="1"/>
        <c:lblAlgn val="ctr"/>
        <c:lblOffset val="100"/>
        <c:tickLblSkip val="1"/>
        <c:tickMarkSkip val="1"/>
        <c:noMultiLvlLbl val="0"/>
      </c:catAx>
      <c:valAx>
        <c:axId val="21554387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55014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7A5E-40C3-9334-87FC568D34C2}"/>
            </c:ext>
          </c:extLst>
        </c:ser>
        <c:dLbls>
          <c:showLegendKey val="0"/>
          <c:showVal val="0"/>
          <c:showCatName val="0"/>
          <c:showSerName val="0"/>
          <c:showPercent val="0"/>
          <c:showBubbleSize val="0"/>
        </c:dLbls>
        <c:gapWidth val="200"/>
        <c:axId val="215547792"/>
        <c:axId val="215544264"/>
      </c:barChart>
      <c:catAx>
        <c:axId val="21554779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544264"/>
        <c:crosses val="autoZero"/>
        <c:auto val="1"/>
        <c:lblAlgn val="ctr"/>
        <c:lblOffset val="100"/>
        <c:tickLblSkip val="1"/>
        <c:tickMarkSkip val="1"/>
        <c:noMultiLvlLbl val="0"/>
      </c:catAx>
      <c:valAx>
        <c:axId val="21554426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54779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'Ricon de los Sauces'!$A$6:$A$19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'Ricon de los Sauces'!$A$6:$A$19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'Ricon de los Sauces'!$F$6:$F$19</c:f>
              <c:numCache>
                <c:formatCode>#,##0.00</c:formatCode>
                <c:ptCount val="14"/>
                <c:pt idx="0">
                  <c:v>0</c:v>
                </c:pt>
                <c:pt idx="1">
                  <c:v>0</c:v>
                </c:pt>
                <c:pt idx="2">
                  <c:v>0</c:v>
                </c:pt>
                <c:pt idx="3">
                  <c:v>444.44444444444446</c:v>
                </c:pt>
                <c:pt idx="4">
                  <c:v>0</c:v>
                </c:pt>
                <c:pt idx="5">
                  <c:v>0</c:v>
                </c:pt>
                <c:pt idx="6">
                  <c:v>0</c:v>
                </c:pt>
                <c:pt idx="7">
                  <c:v>0</c:v>
                </c:pt>
                <c:pt idx="8">
                  <c:v>0</c:v>
                </c:pt>
                <c:pt idx="9">
                  <c:v>0</c:v>
                </c:pt>
                <c:pt idx="10">
                  <c:v>0</c:v>
                </c:pt>
                <c:pt idx="11">
                  <c:v>0</c:v>
                </c:pt>
                <c:pt idx="13">
                  <c:v>23.972602739726028</c:v>
                </c:pt>
              </c:numCache>
            </c:numRef>
          </c:val>
          <c:extLst>
            <c:ext xmlns:c16="http://schemas.microsoft.com/office/drawing/2014/chart" uri="{C3380CC4-5D6E-409C-BE32-E72D297353CC}">
              <c16:uniqueId val="{00000000-AADE-4BCE-BFFC-B43380E2A223}"/>
            </c:ext>
          </c:extLst>
        </c:ser>
        <c:dLbls>
          <c:showLegendKey val="0"/>
          <c:showVal val="0"/>
          <c:showCatName val="0"/>
          <c:showSerName val="0"/>
          <c:showPercent val="0"/>
          <c:showBubbleSize val="0"/>
        </c:dLbls>
        <c:gapWidth val="150"/>
        <c:axId val="215549752"/>
        <c:axId val="215544656"/>
      </c:barChart>
      <c:catAx>
        <c:axId val="21554975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544656"/>
        <c:crosses val="autoZero"/>
        <c:auto val="1"/>
        <c:lblAlgn val="ctr"/>
        <c:lblOffset val="100"/>
        <c:tickLblSkip val="1"/>
        <c:tickMarkSkip val="1"/>
        <c:noMultiLvlLbl val="0"/>
      </c:catAx>
      <c:valAx>
        <c:axId val="21554465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54975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1CB4-4C35-BFDD-0C77985FB44D}"/>
            </c:ext>
          </c:extLst>
        </c:ser>
        <c:dLbls>
          <c:showLegendKey val="0"/>
          <c:showVal val="0"/>
          <c:showCatName val="0"/>
          <c:showSerName val="0"/>
          <c:showPercent val="0"/>
          <c:showBubbleSize val="0"/>
        </c:dLbls>
        <c:gapWidth val="200"/>
        <c:axId val="215550144"/>
        <c:axId val="215543872"/>
      </c:barChart>
      <c:catAx>
        <c:axId val="21555014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543872"/>
        <c:crosses val="autoZero"/>
        <c:auto val="1"/>
        <c:lblAlgn val="ctr"/>
        <c:lblOffset val="100"/>
        <c:tickLblSkip val="1"/>
        <c:tickMarkSkip val="1"/>
        <c:noMultiLvlLbl val="0"/>
      </c:catAx>
      <c:valAx>
        <c:axId val="21554387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55014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3386-4C5C-B0FE-778950E67668}"/>
            </c:ext>
          </c:extLst>
        </c:ser>
        <c:dLbls>
          <c:showLegendKey val="0"/>
          <c:showVal val="0"/>
          <c:showCatName val="0"/>
          <c:showSerName val="0"/>
          <c:showPercent val="0"/>
          <c:showBubbleSize val="0"/>
        </c:dLbls>
        <c:gapWidth val="200"/>
        <c:axId val="215547792"/>
        <c:axId val="215544264"/>
      </c:barChart>
      <c:catAx>
        <c:axId val="21554779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544264"/>
        <c:crosses val="autoZero"/>
        <c:auto val="1"/>
        <c:lblAlgn val="ctr"/>
        <c:lblOffset val="100"/>
        <c:tickLblSkip val="1"/>
        <c:tickMarkSkip val="1"/>
        <c:noMultiLvlLbl val="0"/>
      </c:catAx>
      <c:valAx>
        <c:axId val="21554426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54779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Salta!$A$6:$A$19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Salta!$A$6:$A$19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Salta!$F$6:$F$19</c:f>
              <c:numCache>
                <c:formatCode>#,##0.00</c:formatCode>
                <c:ptCount val="14"/>
                <c:pt idx="0">
                  <c:v>0</c:v>
                </c:pt>
                <c:pt idx="1">
                  <c:v>0</c:v>
                </c:pt>
                <c:pt idx="2">
                  <c:v>1200</c:v>
                </c:pt>
                <c:pt idx="3">
                  <c:v>0</c:v>
                </c:pt>
                <c:pt idx="4">
                  <c:v>0</c:v>
                </c:pt>
                <c:pt idx="5">
                  <c:v>0</c:v>
                </c:pt>
                <c:pt idx="6">
                  <c:v>0</c:v>
                </c:pt>
                <c:pt idx="7">
                  <c:v>0</c:v>
                </c:pt>
                <c:pt idx="8">
                  <c:v>0</c:v>
                </c:pt>
                <c:pt idx="9">
                  <c:v>0</c:v>
                </c:pt>
                <c:pt idx="10">
                  <c:v>0</c:v>
                </c:pt>
                <c:pt idx="11">
                  <c:v>0</c:v>
                </c:pt>
                <c:pt idx="13">
                  <c:v>133.33333333333334</c:v>
                </c:pt>
              </c:numCache>
            </c:numRef>
          </c:val>
          <c:extLst>
            <c:ext xmlns:c16="http://schemas.microsoft.com/office/drawing/2014/chart" uri="{C3380CC4-5D6E-409C-BE32-E72D297353CC}">
              <c16:uniqueId val="{00000000-BBE6-4C71-BC5A-E39476DD292B}"/>
            </c:ext>
          </c:extLst>
        </c:ser>
        <c:dLbls>
          <c:showLegendKey val="0"/>
          <c:showVal val="0"/>
          <c:showCatName val="0"/>
          <c:showSerName val="0"/>
          <c:showPercent val="0"/>
          <c:showBubbleSize val="0"/>
        </c:dLbls>
        <c:gapWidth val="150"/>
        <c:axId val="215549752"/>
        <c:axId val="215544656"/>
      </c:barChart>
      <c:catAx>
        <c:axId val="21554975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544656"/>
        <c:crosses val="autoZero"/>
        <c:auto val="1"/>
        <c:lblAlgn val="ctr"/>
        <c:lblOffset val="100"/>
        <c:tickLblSkip val="1"/>
        <c:tickMarkSkip val="1"/>
        <c:noMultiLvlLbl val="0"/>
      </c:catAx>
      <c:valAx>
        <c:axId val="21554465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54975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3AEA-41A9-B28E-65445254A381}"/>
            </c:ext>
          </c:extLst>
        </c:ser>
        <c:dLbls>
          <c:showLegendKey val="0"/>
          <c:showVal val="0"/>
          <c:showCatName val="0"/>
          <c:showSerName val="0"/>
          <c:showPercent val="0"/>
          <c:showBubbleSize val="0"/>
        </c:dLbls>
        <c:gapWidth val="200"/>
        <c:axId val="213031288"/>
        <c:axId val="213035600"/>
      </c:barChart>
      <c:catAx>
        <c:axId val="21303128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5600"/>
        <c:crosses val="autoZero"/>
        <c:auto val="1"/>
        <c:lblAlgn val="ctr"/>
        <c:lblOffset val="100"/>
        <c:tickLblSkip val="1"/>
        <c:tickMarkSkip val="1"/>
        <c:noMultiLvlLbl val="0"/>
      </c:catAx>
      <c:valAx>
        <c:axId val="21303560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128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68"/>
          <c:y val="3.0434814914672776E-2"/>
        </c:manualLayout>
      </c:layout>
      <c:overlay val="0"/>
      <c:spPr>
        <a:noFill/>
        <a:ln w="25400">
          <a:noFill/>
        </a:ln>
      </c:spPr>
    </c:title>
    <c:autoTitleDeleted val="0"/>
    <c:plotArea>
      <c:layout>
        <c:manualLayout>
          <c:layoutTarget val="inner"/>
          <c:xMode val="edge"/>
          <c:yMode val="edge"/>
          <c:x val="0.11459977387271716"/>
          <c:y val="0.15000015922231574"/>
          <c:w val="0.86342295383554035"/>
          <c:h val="0.6717398434738493"/>
        </c:manualLayout>
      </c:layout>
      <c:barChart>
        <c:barDir val="col"/>
        <c:grouping val="clustered"/>
        <c:varyColors val="0"/>
        <c:ser>
          <c:idx val="0"/>
          <c:order val="0"/>
          <c:tx>
            <c:strRef>
              <c:f>Comirsa!$F$4</c:f>
              <c:strCache>
                <c:ptCount val="1"/>
                <c:pt idx="0">
                  <c:v>Indice de I</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Comirsa!$A$6:$A$19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Comirsa!$F$6:$F$19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384F-40EB-BA1C-39F9EA13629B}"/>
            </c:ext>
          </c:extLst>
        </c:ser>
        <c:dLbls>
          <c:showLegendKey val="0"/>
          <c:showVal val="0"/>
          <c:showCatName val="0"/>
          <c:showSerName val="0"/>
          <c:showPercent val="0"/>
          <c:showBubbleSize val="0"/>
        </c:dLbls>
        <c:gapWidth val="150"/>
        <c:axId val="213033248"/>
        <c:axId val="213034816"/>
      </c:barChart>
      <c:catAx>
        <c:axId val="213033248"/>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764559339248438"/>
              <c:y val="0.91956619349332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3034816"/>
        <c:crosses val="autoZero"/>
        <c:auto val="1"/>
        <c:lblAlgn val="ctr"/>
        <c:lblOffset val="100"/>
        <c:tickLblSkip val="1"/>
        <c:tickMarkSkip val="1"/>
        <c:noMultiLvlLbl val="0"/>
      </c:catAx>
      <c:valAx>
        <c:axId val="21303481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07E-2"/>
              <c:y val="0.4369569855606592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3033248"/>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D4F3-41F5-A105-147C795BDF51}"/>
            </c:ext>
          </c:extLst>
        </c:ser>
        <c:dLbls>
          <c:showLegendKey val="0"/>
          <c:showVal val="0"/>
          <c:showCatName val="0"/>
          <c:showSerName val="0"/>
          <c:showPercent val="0"/>
          <c:showBubbleSize val="0"/>
        </c:dLbls>
        <c:gapWidth val="200"/>
        <c:axId val="261942632"/>
        <c:axId val="261940280"/>
      </c:barChart>
      <c:catAx>
        <c:axId val="2619426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40280"/>
        <c:crosses val="autoZero"/>
        <c:auto val="1"/>
        <c:lblAlgn val="ctr"/>
        <c:lblOffset val="100"/>
        <c:tickLblSkip val="1"/>
        <c:tickMarkSkip val="1"/>
        <c:noMultiLvlLbl val="0"/>
      </c:catAx>
      <c:valAx>
        <c:axId val="26194028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426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791D-4234-BD0C-7328E1A44755}"/>
            </c:ext>
          </c:extLst>
        </c:ser>
        <c:dLbls>
          <c:showLegendKey val="0"/>
          <c:showVal val="0"/>
          <c:showCatName val="0"/>
          <c:showSerName val="0"/>
          <c:showPercent val="0"/>
          <c:showBubbleSize val="0"/>
        </c:dLbls>
        <c:gapWidth val="200"/>
        <c:axId val="262850368"/>
        <c:axId val="262848408"/>
      </c:barChart>
      <c:catAx>
        <c:axId val="2628503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8408"/>
        <c:crosses val="autoZero"/>
        <c:auto val="1"/>
        <c:lblAlgn val="ctr"/>
        <c:lblOffset val="100"/>
        <c:tickLblSkip val="1"/>
        <c:tickMarkSkip val="1"/>
        <c:noMultiLvlLbl val="0"/>
      </c:catAx>
      <c:valAx>
        <c:axId val="2628484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503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'Blanca Luna'!$A$6:$A$19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'Blanca Luna'!$A$6:$A$19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'Blanca Luna'!$F$6:$F$19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036F-4A65-9C72-F5688DB9C967}"/>
            </c:ext>
          </c:extLst>
        </c:ser>
        <c:dLbls>
          <c:showLegendKey val="0"/>
          <c:showVal val="0"/>
          <c:showCatName val="0"/>
          <c:showSerName val="0"/>
          <c:showPercent val="0"/>
          <c:showBubbleSize val="0"/>
        </c:dLbls>
        <c:gapWidth val="150"/>
        <c:axId val="262847232"/>
        <c:axId val="262844488"/>
      </c:barChart>
      <c:catAx>
        <c:axId val="2628472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2844488"/>
        <c:crosses val="autoZero"/>
        <c:auto val="1"/>
        <c:lblAlgn val="ctr"/>
        <c:lblOffset val="100"/>
        <c:tickLblSkip val="1"/>
        <c:tickMarkSkip val="1"/>
        <c:noMultiLvlLbl val="0"/>
      </c:catAx>
      <c:valAx>
        <c:axId val="26284448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28472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DB9A-4068-90AA-8D1ADE977FAA}"/>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'Los Toldos'!$A$6:$A$19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'Los Toldos'!$A$6:$A$19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'Los Toldos'!$F$6:$F$19</c:f>
              <c:numCache>
                <c:formatCode>#,##0.00</c:formatCode>
                <c:ptCount val="14"/>
                <c:pt idx="0">
                  <c:v>0</c:v>
                </c:pt>
                <c:pt idx="1">
                  <c:v>0</c:v>
                </c:pt>
                <c:pt idx="2">
                  <c:v>0</c:v>
                </c:pt>
                <c:pt idx="3">
                  <c:v>0</c:v>
                </c:pt>
                <c:pt idx="4">
                  <c:v>0</c:v>
                </c:pt>
                <c:pt idx="5">
                  <c:v>0</c:v>
                </c:pt>
                <c:pt idx="6">
                  <c:v>0</c:v>
                </c:pt>
                <c:pt idx="7">
                  <c:v>0</c:v>
                </c:pt>
                <c:pt idx="8">
                  <c:v>0</c:v>
                </c:pt>
                <c:pt idx="9">
                  <c:v>0</c:v>
                </c:pt>
                <c:pt idx="10">
                  <c:v>150</c:v>
                </c:pt>
                <c:pt idx="11">
                  <c:v>0</c:v>
                </c:pt>
                <c:pt idx="13">
                  <c:v>60.606060606060609</c:v>
                </c:pt>
              </c:numCache>
            </c:numRef>
          </c:val>
          <c:extLst>
            <c:ext xmlns:c16="http://schemas.microsoft.com/office/drawing/2014/chart" uri="{C3380CC4-5D6E-409C-BE32-E72D297353CC}">
              <c16:uniqueId val="{00000000-FDDB-4D7F-9B7F-4BC2DE24BF87}"/>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9D1C-45FE-97C0-39FF0095FEA7}"/>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'PK327'!$A$6:$A$19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'PK327'!$A$6:$A$19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'PK327'!$F$6:$F$19</c:f>
              <c:numCache>
                <c:formatCode>#,##0.00</c:formatCode>
                <c:ptCount val="14"/>
                <c:pt idx="0">
                  <c:v>0</c:v>
                </c:pt>
                <c:pt idx="1">
                  <c:v>0</c:v>
                </c:pt>
                <c:pt idx="2">
                  <c:v>0</c:v>
                </c:pt>
                <c:pt idx="3">
                  <c:v>0</c:v>
                </c:pt>
                <c:pt idx="4">
                  <c:v>0</c:v>
                </c:pt>
                <c:pt idx="5">
                  <c:v>0</c:v>
                </c:pt>
                <c:pt idx="6">
                  <c:v>0</c:v>
                </c:pt>
                <c:pt idx="7">
                  <c:v>0</c:v>
                </c:pt>
                <c:pt idx="8">
                  <c:v>173.91304347826087</c:v>
                </c:pt>
                <c:pt idx="9">
                  <c:v>0</c:v>
                </c:pt>
                <c:pt idx="10">
                  <c:v>153.84615384615387</c:v>
                </c:pt>
                <c:pt idx="11">
                  <c:v>179.1044776119403</c:v>
                </c:pt>
                <c:pt idx="13">
                  <c:v>124.56747404844292</c:v>
                </c:pt>
              </c:numCache>
            </c:numRef>
          </c:val>
          <c:extLst>
            <c:ext xmlns:c16="http://schemas.microsoft.com/office/drawing/2014/chart" uri="{C3380CC4-5D6E-409C-BE32-E72D297353CC}">
              <c16:uniqueId val="{00000000-DF7C-4FE1-86F2-C9E9CCD531E2}"/>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4A90-405C-A61C-AE7F4E82C9F7}"/>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UBA!$A$6:$A$19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UBA!$A$6:$A$19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UBA!$F$6:$F$19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D273-4C21-AD4E-7F434BCFF5E5}"/>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B9E1-4FF7-9C3A-CA28FBC0F9D4}"/>
            </c:ext>
          </c:extLst>
        </c:ser>
        <c:dLbls>
          <c:showLegendKey val="0"/>
          <c:showVal val="0"/>
          <c:showCatName val="0"/>
          <c:showSerName val="0"/>
          <c:showPercent val="0"/>
          <c:showBubbleSize val="0"/>
        </c:dLbls>
        <c:gapWidth val="200"/>
        <c:axId val="259981424"/>
        <c:axId val="259986520"/>
      </c:barChart>
      <c:catAx>
        <c:axId val="25998142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59986520"/>
        <c:crosses val="autoZero"/>
        <c:auto val="1"/>
        <c:lblAlgn val="ctr"/>
        <c:lblOffset val="100"/>
        <c:tickLblSkip val="1"/>
        <c:tickMarkSkip val="1"/>
        <c:noMultiLvlLbl val="0"/>
      </c:catAx>
      <c:valAx>
        <c:axId val="25998652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5998142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D0BF-4133-8BC2-48ACDD98BF25}"/>
            </c:ext>
          </c:extLst>
        </c:ser>
        <c:dLbls>
          <c:showLegendKey val="0"/>
          <c:showVal val="0"/>
          <c:showCatName val="0"/>
          <c:showSerName val="0"/>
          <c:showPercent val="0"/>
          <c:showBubbleSize val="0"/>
        </c:dLbls>
        <c:gapWidth val="200"/>
        <c:axId val="259981816"/>
        <c:axId val="259982208"/>
      </c:barChart>
      <c:catAx>
        <c:axId val="25998181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59982208"/>
        <c:crosses val="autoZero"/>
        <c:auto val="1"/>
        <c:lblAlgn val="ctr"/>
        <c:lblOffset val="100"/>
        <c:tickLblSkip val="1"/>
        <c:tickMarkSkip val="1"/>
        <c:noMultiLvlLbl val="0"/>
      </c:catAx>
      <c:valAx>
        <c:axId val="2599822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59981816"/>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'CABA '!$A$6:$A$19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'CABA '!$A$6:$A$19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'CABA '!$F$6:$F$19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073B-4463-B6F3-BE0AB5BDE4B5}"/>
            </c:ext>
          </c:extLst>
        </c:ser>
        <c:dLbls>
          <c:showLegendKey val="0"/>
          <c:showVal val="0"/>
          <c:showCatName val="0"/>
          <c:showSerName val="0"/>
          <c:showPercent val="0"/>
          <c:showBubbleSize val="0"/>
        </c:dLbls>
        <c:gapWidth val="150"/>
        <c:axId val="259987304"/>
        <c:axId val="259982600"/>
      </c:barChart>
      <c:catAx>
        <c:axId val="25998730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59982600"/>
        <c:crosses val="autoZero"/>
        <c:auto val="1"/>
        <c:lblAlgn val="ctr"/>
        <c:lblOffset val="100"/>
        <c:tickLblSkip val="1"/>
        <c:tickMarkSkip val="1"/>
        <c:noMultiLvlLbl val="0"/>
      </c:catAx>
      <c:valAx>
        <c:axId val="259982600"/>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5998730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E006-403F-89F8-A1D8EFA370A3}"/>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Olavarria!$A$6:$A$19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Olavarria!$A$6:$A$19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Olavarria!$F$6:$F$19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EC2E-4B26-9C19-EBE3D707FCA9}"/>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1AA9-4F9D-941A-42CD05A1E935}"/>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'Rio Colorado'!$A$6:$A$19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'Rio Colorado'!$A$6:$A$19</c:f>
              <c:strCache>
                <c:ptCount val="14"/>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3">
                  <c:v>Total/Prom</c:v>
                </c:pt>
              </c:strCache>
            </c:strRef>
          </c:cat>
          <c:val>
            <c:numRef>
              <c:f>'Rio Colorado'!$F$6:$F$19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FA25-497B-A490-72FC53A0173C}"/>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32E7-46A3-B460-5342E4D1C946}"/>
            </c:ext>
          </c:extLst>
        </c:ser>
        <c:dLbls>
          <c:showLegendKey val="0"/>
          <c:showVal val="0"/>
          <c:showCatName val="0"/>
          <c:showSerName val="0"/>
          <c:showPercent val="0"/>
          <c:showBubbleSize val="0"/>
        </c:dLbls>
        <c:gapWidth val="200"/>
        <c:axId val="215425744"/>
        <c:axId val="215426920"/>
      </c:barChart>
      <c:catAx>
        <c:axId val="21542574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426920"/>
        <c:crosses val="autoZero"/>
        <c:auto val="1"/>
        <c:lblAlgn val="ctr"/>
        <c:lblOffset val="100"/>
        <c:tickLblSkip val="1"/>
        <c:tickMarkSkip val="1"/>
        <c:noMultiLvlLbl val="0"/>
      </c:catAx>
      <c:valAx>
        <c:axId val="21542692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42574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604B-4369-94F5-741468D0C3FD}"/>
            </c:ext>
          </c:extLst>
        </c:ser>
        <c:dLbls>
          <c:showLegendKey val="0"/>
          <c:showVal val="0"/>
          <c:showCatName val="0"/>
          <c:showSerName val="0"/>
          <c:showPercent val="0"/>
          <c:showBubbleSize val="0"/>
        </c:dLbls>
        <c:gapWidth val="200"/>
        <c:axId val="215422608"/>
        <c:axId val="215421824"/>
      </c:barChart>
      <c:catAx>
        <c:axId val="21542260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421824"/>
        <c:crosses val="autoZero"/>
        <c:auto val="1"/>
        <c:lblAlgn val="ctr"/>
        <c:lblOffset val="100"/>
        <c:tickLblSkip val="1"/>
        <c:tickMarkSkip val="1"/>
        <c:noMultiLvlLbl val="0"/>
      </c:catAx>
      <c:valAx>
        <c:axId val="21542182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42260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POBA!$A$6:$A$19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POBA!$A$6:$A$19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POBA!$F$6:$F$19</c:f>
              <c:numCache>
                <c:formatCode>#,##0.00</c:formatCode>
                <c:ptCount val="14"/>
                <c:pt idx="0">
                  <c:v>600</c:v>
                </c:pt>
                <c:pt idx="1">
                  <c:v>0</c:v>
                </c:pt>
                <c:pt idx="2">
                  <c:v>0</c:v>
                </c:pt>
                <c:pt idx="3">
                  <c:v>0</c:v>
                </c:pt>
                <c:pt idx="4">
                  <c:v>0</c:v>
                </c:pt>
                <c:pt idx="5">
                  <c:v>0</c:v>
                </c:pt>
                <c:pt idx="6">
                  <c:v>0</c:v>
                </c:pt>
                <c:pt idx="7">
                  <c:v>0</c:v>
                </c:pt>
                <c:pt idx="8">
                  <c:v>0</c:v>
                </c:pt>
                <c:pt idx="9">
                  <c:v>0</c:v>
                </c:pt>
                <c:pt idx="10">
                  <c:v>0</c:v>
                </c:pt>
                <c:pt idx="11">
                  <c:v>0</c:v>
                </c:pt>
                <c:pt idx="13">
                  <c:v>148.14814814814815</c:v>
                </c:pt>
              </c:numCache>
            </c:numRef>
          </c:val>
          <c:extLst>
            <c:ext xmlns:c16="http://schemas.microsoft.com/office/drawing/2014/chart" uri="{C3380CC4-5D6E-409C-BE32-E72D297353CC}">
              <c16:uniqueId val="{00000000-FA93-4851-B820-4D96B290AB6C}"/>
            </c:ext>
          </c:extLst>
        </c:ser>
        <c:dLbls>
          <c:showLegendKey val="0"/>
          <c:showVal val="0"/>
          <c:showCatName val="0"/>
          <c:showSerName val="0"/>
          <c:showPercent val="0"/>
          <c:showBubbleSize val="0"/>
        </c:dLbls>
        <c:gapWidth val="150"/>
        <c:axId val="215428096"/>
        <c:axId val="215422216"/>
      </c:barChart>
      <c:catAx>
        <c:axId val="215428096"/>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422216"/>
        <c:crosses val="autoZero"/>
        <c:auto val="1"/>
        <c:lblAlgn val="ctr"/>
        <c:lblOffset val="100"/>
        <c:tickLblSkip val="1"/>
        <c:tickMarkSkip val="1"/>
        <c:noMultiLvlLbl val="0"/>
      </c:catAx>
      <c:valAx>
        <c:axId val="21542221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428096"/>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A512-4C3D-940C-E73AB1D2DD76}"/>
            </c:ext>
          </c:extLst>
        </c:ser>
        <c:dLbls>
          <c:showLegendKey val="0"/>
          <c:showVal val="0"/>
          <c:showCatName val="0"/>
          <c:showSerName val="0"/>
          <c:showPercent val="0"/>
          <c:showBubbleSize val="0"/>
        </c:dLbls>
        <c:gapWidth val="200"/>
        <c:axId val="215423392"/>
        <c:axId val="215424568"/>
      </c:barChart>
      <c:catAx>
        <c:axId val="21542339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424568"/>
        <c:crosses val="autoZero"/>
        <c:auto val="1"/>
        <c:lblAlgn val="ctr"/>
        <c:lblOffset val="100"/>
        <c:tickLblSkip val="1"/>
        <c:tickMarkSkip val="1"/>
        <c:noMultiLvlLbl val="0"/>
      </c:catAx>
      <c:valAx>
        <c:axId val="21542456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42339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DB35-47E5-A9F6-E8DA315FA619}"/>
            </c:ext>
          </c:extLst>
        </c:ser>
        <c:dLbls>
          <c:showLegendKey val="0"/>
          <c:showVal val="0"/>
          <c:showCatName val="0"/>
          <c:showSerName val="0"/>
          <c:showPercent val="0"/>
          <c:showBubbleSize val="0"/>
        </c:dLbls>
        <c:gapWidth val="200"/>
        <c:axId val="215425352"/>
        <c:axId val="215426528"/>
      </c:barChart>
      <c:catAx>
        <c:axId val="21542535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426528"/>
        <c:crosses val="autoZero"/>
        <c:auto val="1"/>
        <c:lblAlgn val="ctr"/>
        <c:lblOffset val="100"/>
        <c:tickLblSkip val="1"/>
        <c:tickMarkSkip val="1"/>
        <c:noMultiLvlLbl val="0"/>
      </c:catAx>
      <c:valAx>
        <c:axId val="21542652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42535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'San Luis - Villa Mercedes'!$A$6:$A$19</c:f>
              <c:strCache>
                <c:ptCount val="14"/>
                <c:pt idx="0">
                  <c:v>ene-24</c:v>
                </c:pt>
                <c:pt idx="1">
                  <c:v>feb-24</c:v>
                </c:pt>
                <c:pt idx="2">
                  <c:v>mar-24</c:v>
                </c:pt>
                <c:pt idx="3">
                  <c:v>abr-24</c:v>
                </c:pt>
                <c:pt idx="4">
                  <c:v>may-24</c:v>
                </c:pt>
                <c:pt idx="5">
                  <c:v>jun-24</c:v>
                </c:pt>
                <c:pt idx="6">
                  <c:v>jul-24</c:v>
                </c:pt>
                <c:pt idx="7">
                  <c:v>ago-24</c:v>
                </c:pt>
                <c:pt idx="8">
                  <c:v>sep-24</c:v>
                </c:pt>
                <c:pt idx="9">
                  <c:v>oct-23</c:v>
                </c:pt>
                <c:pt idx="10">
                  <c:v>nov-23</c:v>
                </c:pt>
                <c:pt idx="11">
                  <c:v>dic-23</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'San Luis - Villa Mercedes'!$A$6:$A$19</c:f>
              <c:strCache>
                <c:ptCount val="14"/>
                <c:pt idx="0">
                  <c:v>ene-24</c:v>
                </c:pt>
                <c:pt idx="1">
                  <c:v>feb-24</c:v>
                </c:pt>
                <c:pt idx="2">
                  <c:v>mar-24</c:v>
                </c:pt>
                <c:pt idx="3">
                  <c:v>abr-24</c:v>
                </c:pt>
                <c:pt idx="4">
                  <c:v>may-24</c:v>
                </c:pt>
                <c:pt idx="5">
                  <c:v>jun-24</c:v>
                </c:pt>
                <c:pt idx="6">
                  <c:v>jul-24</c:v>
                </c:pt>
                <c:pt idx="7">
                  <c:v>ago-24</c:v>
                </c:pt>
                <c:pt idx="8">
                  <c:v>sep-24</c:v>
                </c:pt>
                <c:pt idx="9">
                  <c:v>oct-23</c:v>
                </c:pt>
                <c:pt idx="10">
                  <c:v>nov-23</c:v>
                </c:pt>
                <c:pt idx="11">
                  <c:v>dic-23</c:v>
                </c:pt>
                <c:pt idx="13">
                  <c:v>Total/Prom</c:v>
                </c:pt>
              </c:strCache>
            </c:strRef>
          </c:cat>
          <c:val>
            <c:numRef>
              <c:f>'San Luis - Villa Mercedes'!$F$6:$F$19</c:f>
              <c:numCache>
                <c:formatCode>#,##0.00</c:formatCode>
                <c:ptCount val="14"/>
                <c:pt idx="0">
                  <c:v>923.07692307692309</c:v>
                </c:pt>
                <c:pt idx="1">
                  <c:v>0</c:v>
                </c:pt>
                <c:pt idx="2">
                  <c:v>0</c:v>
                </c:pt>
                <c:pt idx="3">
                  <c:v>0</c:v>
                </c:pt>
                <c:pt idx="4">
                  <c:v>0</c:v>
                </c:pt>
                <c:pt idx="5">
                  <c:v>0</c:v>
                </c:pt>
                <c:pt idx="6">
                  <c:v>0</c:v>
                </c:pt>
                <c:pt idx="7">
                  <c:v>0</c:v>
                </c:pt>
                <c:pt idx="8">
                  <c:v>0</c:v>
                </c:pt>
                <c:pt idx="9">
                  <c:v>0</c:v>
                </c:pt>
                <c:pt idx="10">
                  <c:v>0</c:v>
                </c:pt>
                <c:pt idx="11">
                  <c:v>0</c:v>
                </c:pt>
                <c:pt idx="13">
                  <c:v>81.632653061224488</c:v>
                </c:pt>
              </c:numCache>
            </c:numRef>
          </c:val>
          <c:extLst>
            <c:ext xmlns:c16="http://schemas.microsoft.com/office/drawing/2014/chart" uri="{C3380CC4-5D6E-409C-BE32-E72D297353CC}">
              <c16:uniqueId val="{00000000-9C9A-4801-BD52-49EDBA1E048D}"/>
            </c:ext>
          </c:extLst>
        </c:ser>
        <c:dLbls>
          <c:showLegendKey val="0"/>
          <c:showVal val="0"/>
          <c:showCatName val="0"/>
          <c:showSerName val="0"/>
          <c:showPercent val="0"/>
          <c:showBubbleSize val="0"/>
        </c:dLbls>
        <c:gapWidth val="150"/>
        <c:axId val="215550928"/>
        <c:axId val="215547008"/>
      </c:barChart>
      <c:catAx>
        <c:axId val="215550928"/>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547008"/>
        <c:crosses val="autoZero"/>
        <c:auto val="1"/>
        <c:lblAlgn val="ctr"/>
        <c:lblOffset val="100"/>
        <c:tickLblSkip val="1"/>
        <c:tickMarkSkip val="1"/>
        <c:noMultiLvlLbl val="0"/>
      </c:catAx>
      <c:valAx>
        <c:axId val="21554700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550928"/>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58EE-49D1-90E9-554782441807}"/>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'Cordoba 2024'!$A$6:$A$19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'Cordoba 2024'!$A$6:$A$19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'Cordoba 2024'!$F$6:$F$19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7D85-49A9-ACB5-968345B8F5DE}"/>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C87B-458B-AC65-7301B8E405C2}"/>
            </c:ext>
          </c:extLst>
        </c:ser>
        <c:dLbls>
          <c:showLegendKey val="0"/>
          <c:showVal val="0"/>
          <c:showCatName val="0"/>
          <c:showSerName val="0"/>
          <c:showPercent val="0"/>
          <c:showBubbleSize val="0"/>
        </c:dLbls>
        <c:gapWidth val="200"/>
        <c:axId val="215030464"/>
        <c:axId val="215032816"/>
      </c:barChart>
      <c:catAx>
        <c:axId val="21503046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032816"/>
        <c:crosses val="autoZero"/>
        <c:auto val="1"/>
        <c:lblAlgn val="ctr"/>
        <c:lblOffset val="100"/>
        <c:tickLblSkip val="1"/>
        <c:tickMarkSkip val="1"/>
        <c:noMultiLvlLbl val="0"/>
      </c:catAx>
      <c:valAx>
        <c:axId val="215032816"/>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03046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CF6A-4995-81EB-AD3EED7B5633}"/>
            </c:ext>
          </c:extLst>
        </c:ser>
        <c:dLbls>
          <c:showLegendKey val="0"/>
          <c:showVal val="0"/>
          <c:showCatName val="0"/>
          <c:showSerName val="0"/>
          <c:showPercent val="0"/>
          <c:showBubbleSize val="0"/>
        </c:dLbls>
        <c:gapWidth val="200"/>
        <c:axId val="215029288"/>
        <c:axId val="215027328"/>
      </c:barChart>
      <c:catAx>
        <c:axId val="21502928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027328"/>
        <c:crosses val="autoZero"/>
        <c:auto val="1"/>
        <c:lblAlgn val="ctr"/>
        <c:lblOffset val="100"/>
        <c:tickLblSkip val="1"/>
        <c:tickMarkSkip val="1"/>
        <c:noMultiLvlLbl val="0"/>
      </c:catAx>
      <c:valAx>
        <c:axId val="21502732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02928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Chapa!$A$6:$A$19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Chapa!$A$6:$A$19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Chapa!$F$6:$F$19</c:f>
              <c:numCache>
                <c:formatCode>#,##0.00</c:formatCode>
                <c:ptCount val="14"/>
                <c:pt idx="0">
                  <c:v>255.31914893617022</c:v>
                </c:pt>
                <c:pt idx="1">
                  <c:v>292.6829268292683</c:v>
                </c:pt>
                <c:pt idx="2">
                  <c:v>0</c:v>
                </c:pt>
                <c:pt idx="3">
                  <c:v>0</c:v>
                </c:pt>
                <c:pt idx="4">
                  <c:v>0</c:v>
                </c:pt>
                <c:pt idx="5">
                  <c:v>0</c:v>
                </c:pt>
                <c:pt idx="6">
                  <c:v>0</c:v>
                </c:pt>
                <c:pt idx="7">
                  <c:v>0</c:v>
                </c:pt>
                <c:pt idx="8">
                  <c:v>0</c:v>
                </c:pt>
                <c:pt idx="9">
                  <c:v>0</c:v>
                </c:pt>
                <c:pt idx="10">
                  <c:v>0</c:v>
                </c:pt>
                <c:pt idx="11">
                  <c:v>0</c:v>
                </c:pt>
                <c:pt idx="13">
                  <c:v>206.89655172413794</c:v>
                </c:pt>
              </c:numCache>
            </c:numRef>
          </c:val>
          <c:extLst>
            <c:ext xmlns:c16="http://schemas.microsoft.com/office/drawing/2014/chart" uri="{C3380CC4-5D6E-409C-BE32-E72D297353CC}">
              <c16:uniqueId val="{00000000-4486-4929-892A-8D248708EF81}"/>
            </c:ext>
          </c:extLst>
        </c:ser>
        <c:dLbls>
          <c:showLegendKey val="0"/>
          <c:showVal val="0"/>
          <c:showCatName val="0"/>
          <c:showSerName val="0"/>
          <c:showPercent val="0"/>
          <c:showBubbleSize val="0"/>
        </c:dLbls>
        <c:gapWidth val="150"/>
        <c:axId val="215027720"/>
        <c:axId val="215030072"/>
      </c:barChart>
      <c:catAx>
        <c:axId val="215027720"/>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0072"/>
        <c:crosses val="autoZero"/>
        <c:auto val="1"/>
        <c:lblAlgn val="ctr"/>
        <c:lblOffset val="100"/>
        <c:tickLblSkip val="1"/>
        <c:tickMarkSkip val="1"/>
        <c:noMultiLvlLbl val="0"/>
      </c:catAx>
      <c:valAx>
        <c:axId val="215030072"/>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27720"/>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A53A-426D-AB85-D82A7E8C3B2E}"/>
            </c:ext>
          </c:extLst>
        </c:ser>
        <c:dLbls>
          <c:showLegendKey val="0"/>
          <c:showVal val="0"/>
          <c:showCatName val="0"/>
          <c:showSerName val="0"/>
          <c:showPercent val="0"/>
          <c:showBubbleSize val="0"/>
        </c:dLbls>
        <c:gapWidth val="200"/>
        <c:axId val="213034032"/>
        <c:axId val="213036384"/>
      </c:barChart>
      <c:catAx>
        <c:axId val="2130340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6384"/>
        <c:crosses val="autoZero"/>
        <c:auto val="1"/>
        <c:lblAlgn val="ctr"/>
        <c:lblOffset val="100"/>
        <c:tickLblSkip val="1"/>
        <c:tickMarkSkip val="1"/>
        <c:noMultiLvlLbl val="0"/>
      </c:catAx>
      <c:valAx>
        <c:axId val="21303638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40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Represa!$A$6:$A$19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Represa!$A$6:$A$19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Represa!$F$6:$F$19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3FF7-4FFC-912E-E7FC7796C5F1}"/>
            </c:ext>
          </c:extLst>
        </c:ser>
        <c:dLbls>
          <c:showLegendKey val="0"/>
          <c:showVal val="0"/>
          <c:showCatName val="0"/>
          <c:showSerName val="0"/>
          <c:showPercent val="0"/>
          <c:showBubbleSize val="0"/>
        </c:dLbls>
        <c:gapWidth val="150"/>
        <c:axId val="215032424"/>
        <c:axId val="215034776"/>
      </c:barChart>
      <c:catAx>
        <c:axId val="21503242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034776"/>
        <c:crosses val="autoZero"/>
        <c:auto val="1"/>
        <c:lblAlgn val="ctr"/>
        <c:lblOffset val="100"/>
        <c:tickLblSkip val="1"/>
        <c:tickMarkSkip val="1"/>
        <c:noMultiLvlLbl val="0"/>
      </c:catAx>
      <c:valAx>
        <c:axId val="21503477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032424"/>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3972-4A3D-ADE0-F3C26E444242}"/>
            </c:ext>
          </c:extLst>
        </c:ser>
        <c:dLbls>
          <c:showLegendKey val="0"/>
          <c:showVal val="0"/>
          <c:showCatName val="0"/>
          <c:showSerName val="0"/>
          <c:showPercent val="0"/>
          <c:showBubbleSize val="0"/>
        </c:dLbls>
        <c:gapWidth val="200"/>
        <c:axId val="213037168"/>
        <c:axId val="213035208"/>
      </c:barChart>
      <c:catAx>
        <c:axId val="2130371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3035208"/>
        <c:crosses val="autoZero"/>
        <c:auto val="1"/>
        <c:lblAlgn val="ctr"/>
        <c:lblOffset val="100"/>
        <c:tickLblSkip val="1"/>
        <c:tickMarkSkip val="1"/>
        <c:noMultiLvlLbl val="0"/>
      </c:catAx>
      <c:valAx>
        <c:axId val="2130352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71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67C3-452D-ACFE-F33BA067B806}"/>
            </c:ext>
          </c:extLst>
        </c:ser>
        <c:dLbls>
          <c:showLegendKey val="0"/>
          <c:showVal val="0"/>
          <c:showCatName val="0"/>
          <c:showSerName val="0"/>
          <c:showPercent val="0"/>
          <c:showBubbleSize val="0"/>
        </c:dLbls>
        <c:gapWidth val="200"/>
        <c:axId val="213030896"/>
        <c:axId val="215421040"/>
      </c:barChart>
      <c:catAx>
        <c:axId val="21303089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421040"/>
        <c:crosses val="autoZero"/>
        <c:auto val="1"/>
        <c:lblAlgn val="ctr"/>
        <c:lblOffset val="100"/>
        <c:tickLblSkip val="1"/>
        <c:tickMarkSkip val="1"/>
        <c:noMultiLvlLbl val="0"/>
      </c:catAx>
      <c:valAx>
        <c:axId val="21542104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3030896"/>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'Rio Turbio'!$A$6:$A$19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'Rio Turbio'!$A$6:$A$19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'Rio Turbio'!$F$6:$F$19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A9CD-4099-817E-1AEF51FA8294}"/>
            </c:ext>
          </c:extLst>
        </c:ser>
        <c:dLbls>
          <c:showLegendKey val="0"/>
          <c:showVal val="0"/>
          <c:showCatName val="0"/>
          <c:showSerName val="0"/>
          <c:showPercent val="0"/>
          <c:showBubbleSize val="0"/>
        </c:dLbls>
        <c:gapWidth val="150"/>
        <c:axId val="215421432"/>
        <c:axId val="215426136"/>
      </c:barChart>
      <c:catAx>
        <c:axId val="2154214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426136"/>
        <c:crosses val="autoZero"/>
        <c:auto val="1"/>
        <c:lblAlgn val="ctr"/>
        <c:lblOffset val="100"/>
        <c:tickLblSkip val="1"/>
        <c:tickMarkSkip val="1"/>
        <c:noMultiLvlLbl val="0"/>
      </c:catAx>
      <c:valAx>
        <c:axId val="21542613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4214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7C38-465D-BB57-36C23F0CA563}"/>
            </c:ext>
          </c:extLst>
        </c:ser>
        <c:dLbls>
          <c:showLegendKey val="0"/>
          <c:showVal val="0"/>
          <c:showCatName val="0"/>
          <c:showSerName val="0"/>
          <c:showPercent val="0"/>
          <c:showBubbleSize val="0"/>
        </c:dLbls>
        <c:gapWidth val="200"/>
        <c:axId val="259988480"/>
        <c:axId val="261936360"/>
      </c:barChart>
      <c:catAx>
        <c:axId val="259988480"/>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36360"/>
        <c:crosses val="autoZero"/>
        <c:auto val="1"/>
        <c:lblAlgn val="ctr"/>
        <c:lblOffset val="100"/>
        <c:tickLblSkip val="1"/>
        <c:tickMarkSkip val="1"/>
        <c:noMultiLvlLbl val="0"/>
      </c:catAx>
      <c:valAx>
        <c:axId val="26193636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59988480"/>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D1AA-429F-B3D8-06F5906BBF28}"/>
            </c:ext>
          </c:extLst>
        </c:ser>
        <c:dLbls>
          <c:showLegendKey val="0"/>
          <c:showVal val="0"/>
          <c:showCatName val="0"/>
          <c:showSerName val="0"/>
          <c:showPercent val="0"/>
          <c:showBubbleSize val="0"/>
        </c:dLbls>
        <c:gapWidth val="200"/>
        <c:axId val="261935968"/>
        <c:axId val="261941848"/>
      </c:barChart>
      <c:catAx>
        <c:axId val="2619359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41848"/>
        <c:crosses val="autoZero"/>
        <c:auto val="1"/>
        <c:lblAlgn val="ctr"/>
        <c:lblOffset val="100"/>
        <c:tickLblSkip val="1"/>
        <c:tickMarkSkip val="1"/>
        <c:noMultiLvlLbl val="0"/>
      </c:catAx>
      <c:valAx>
        <c:axId val="26194184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359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'Vicente Lopez'!$A$6:$A$19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'Vicente Lopez'!$A$6:$A$19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'Vicente Lopez'!$F$6:$F$19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9581-4930-852B-10E920BE2CED}"/>
            </c:ext>
          </c:extLst>
        </c:ser>
        <c:dLbls>
          <c:showLegendKey val="0"/>
          <c:showVal val="0"/>
          <c:showCatName val="0"/>
          <c:showSerName val="0"/>
          <c:showPercent val="0"/>
          <c:showBubbleSize val="0"/>
        </c:dLbls>
        <c:gapWidth val="150"/>
        <c:axId val="261935576"/>
        <c:axId val="261938320"/>
      </c:barChart>
      <c:catAx>
        <c:axId val="261935576"/>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1938320"/>
        <c:crosses val="autoZero"/>
        <c:auto val="1"/>
        <c:lblAlgn val="ctr"/>
        <c:lblOffset val="100"/>
        <c:tickLblSkip val="1"/>
        <c:tickMarkSkip val="1"/>
        <c:noMultiLvlLbl val="0"/>
      </c:catAx>
      <c:valAx>
        <c:axId val="261938320"/>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1935576"/>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EC12-4358-8E58-3C49CB72DAA8}"/>
            </c:ext>
          </c:extLst>
        </c:ser>
        <c:dLbls>
          <c:showLegendKey val="0"/>
          <c:showVal val="0"/>
          <c:showCatName val="0"/>
          <c:showSerName val="0"/>
          <c:showPercent val="0"/>
          <c:showBubbleSize val="0"/>
        </c:dLbls>
        <c:gapWidth val="200"/>
        <c:axId val="215549360"/>
        <c:axId val="215545440"/>
      </c:barChart>
      <c:catAx>
        <c:axId val="215549360"/>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545440"/>
        <c:crosses val="autoZero"/>
        <c:auto val="1"/>
        <c:lblAlgn val="ctr"/>
        <c:lblOffset val="100"/>
        <c:tickLblSkip val="1"/>
        <c:tickMarkSkip val="1"/>
        <c:noMultiLvlLbl val="0"/>
      </c:catAx>
      <c:valAx>
        <c:axId val="21554544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549360"/>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0F73-4B89-A0DB-791098850A5C}"/>
            </c:ext>
          </c:extLst>
        </c:ser>
        <c:dLbls>
          <c:showLegendKey val="0"/>
          <c:showVal val="0"/>
          <c:showCatName val="0"/>
          <c:showSerName val="0"/>
          <c:showPercent val="0"/>
          <c:showBubbleSize val="0"/>
        </c:dLbls>
        <c:gapWidth val="200"/>
        <c:axId val="215545832"/>
        <c:axId val="215546224"/>
      </c:barChart>
      <c:catAx>
        <c:axId val="2155458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546224"/>
        <c:crosses val="autoZero"/>
        <c:auto val="1"/>
        <c:lblAlgn val="ctr"/>
        <c:lblOffset val="100"/>
        <c:tickLblSkip val="1"/>
        <c:tickMarkSkip val="1"/>
        <c:noMultiLvlLbl val="0"/>
      </c:catAx>
      <c:valAx>
        <c:axId val="21554622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5458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chavez!$A$6:$A$19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chavez!$A$6:$A$19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chavez!$F$6:$F$19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091A-491E-85F8-3843AE3A3B60}"/>
            </c:ext>
          </c:extLst>
        </c:ser>
        <c:dLbls>
          <c:showLegendKey val="0"/>
          <c:showVal val="0"/>
          <c:showCatName val="0"/>
          <c:showSerName val="0"/>
          <c:showPercent val="0"/>
          <c:showBubbleSize val="0"/>
        </c:dLbls>
        <c:gapWidth val="150"/>
        <c:axId val="215547400"/>
        <c:axId val="215550536"/>
      </c:barChart>
      <c:catAx>
        <c:axId val="215547400"/>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550536"/>
        <c:crosses val="autoZero"/>
        <c:auto val="1"/>
        <c:lblAlgn val="ctr"/>
        <c:lblOffset val="100"/>
        <c:tickLblSkip val="1"/>
        <c:tickMarkSkip val="1"/>
        <c:noMultiLvlLbl val="0"/>
      </c:catAx>
      <c:valAx>
        <c:axId val="215550536"/>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547400"/>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0A53-4F36-9B96-7F24CB582ED6}"/>
            </c:ext>
          </c:extLst>
        </c:ser>
        <c:dLbls>
          <c:showLegendKey val="0"/>
          <c:showVal val="0"/>
          <c:showCatName val="0"/>
          <c:showSerName val="0"/>
          <c:showPercent val="0"/>
          <c:showBubbleSize val="0"/>
        </c:dLbls>
        <c:gapWidth val="200"/>
        <c:axId val="261942632"/>
        <c:axId val="261940280"/>
      </c:barChart>
      <c:catAx>
        <c:axId val="2619426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1940280"/>
        <c:crosses val="autoZero"/>
        <c:auto val="1"/>
        <c:lblAlgn val="ctr"/>
        <c:lblOffset val="100"/>
        <c:tickLblSkip val="1"/>
        <c:tickMarkSkip val="1"/>
        <c:noMultiLvlLbl val="0"/>
      </c:catAx>
      <c:valAx>
        <c:axId val="26194028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194263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7AA4-4EA0-A93C-55E78EB5369D}"/>
            </c:ext>
          </c:extLst>
        </c:ser>
        <c:dLbls>
          <c:showLegendKey val="0"/>
          <c:showVal val="0"/>
          <c:showCatName val="0"/>
          <c:showSerName val="0"/>
          <c:showPercent val="0"/>
          <c:showBubbleSize val="0"/>
        </c:dLbls>
        <c:gapWidth val="200"/>
        <c:axId val="262850368"/>
        <c:axId val="262848408"/>
      </c:barChart>
      <c:catAx>
        <c:axId val="2628503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8408"/>
        <c:crosses val="autoZero"/>
        <c:auto val="1"/>
        <c:lblAlgn val="ctr"/>
        <c:lblOffset val="100"/>
        <c:tickLblSkip val="1"/>
        <c:tickMarkSkip val="1"/>
        <c:noMultiLvlLbl val="0"/>
      </c:catAx>
      <c:valAx>
        <c:axId val="2628484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50368"/>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BungeBahia!$A$6:$A$19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BungeBahia!$A$6:$A$19</c:f>
              <c:strCache>
                <c:ptCount val="14"/>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pt idx="13">
                  <c:v>Total/Prom</c:v>
                </c:pt>
              </c:strCache>
            </c:strRef>
          </c:cat>
          <c:val>
            <c:numRef>
              <c:f>BungeBahia!$F$6:$F$19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444.44444444444446</c:v>
                </c:pt>
              </c:numCache>
            </c:numRef>
          </c:val>
          <c:extLst>
            <c:ext xmlns:c16="http://schemas.microsoft.com/office/drawing/2014/chart" uri="{C3380CC4-5D6E-409C-BE32-E72D297353CC}">
              <c16:uniqueId val="{00000000-C1E3-4BE5-8A36-2EED0C10A474}"/>
            </c:ext>
          </c:extLst>
        </c:ser>
        <c:dLbls>
          <c:showLegendKey val="0"/>
          <c:showVal val="0"/>
          <c:showCatName val="0"/>
          <c:showSerName val="0"/>
          <c:showPercent val="0"/>
          <c:showBubbleSize val="0"/>
        </c:dLbls>
        <c:gapWidth val="150"/>
        <c:axId val="262847232"/>
        <c:axId val="262844488"/>
      </c:barChart>
      <c:catAx>
        <c:axId val="2628472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2844488"/>
        <c:crosses val="autoZero"/>
        <c:auto val="1"/>
        <c:lblAlgn val="ctr"/>
        <c:lblOffset val="100"/>
        <c:tickLblSkip val="1"/>
        <c:tickMarkSkip val="1"/>
        <c:noMultiLvlLbl val="0"/>
      </c:catAx>
      <c:valAx>
        <c:axId val="26284448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28472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CEF3-4CAE-8FE2-47281B52A79E}"/>
            </c:ext>
          </c:extLst>
        </c:ser>
        <c:dLbls>
          <c:showLegendKey val="0"/>
          <c:showVal val="0"/>
          <c:showCatName val="0"/>
          <c:showSerName val="0"/>
          <c:showPercent val="0"/>
          <c:showBubbleSize val="0"/>
        </c:dLbls>
        <c:gapWidth val="200"/>
        <c:axId val="262848800"/>
        <c:axId val="262848016"/>
      </c:barChart>
      <c:catAx>
        <c:axId val="262848800"/>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8016"/>
        <c:crosses val="autoZero"/>
        <c:auto val="1"/>
        <c:lblAlgn val="ctr"/>
        <c:lblOffset val="100"/>
        <c:tickLblSkip val="1"/>
        <c:tickMarkSkip val="1"/>
        <c:noMultiLvlLbl val="0"/>
      </c:catAx>
      <c:valAx>
        <c:axId val="262848016"/>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48800"/>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C513-4A91-8623-A258E27420B9}"/>
            </c:ext>
          </c:extLst>
        </c:ser>
        <c:dLbls>
          <c:showLegendKey val="0"/>
          <c:showVal val="0"/>
          <c:showCatName val="0"/>
          <c:showSerName val="0"/>
          <c:showPercent val="0"/>
          <c:showBubbleSize val="0"/>
        </c:dLbls>
        <c:gapWidth val="200"/>
        <c:axId val="262851936"/>
        <c:axId val="262849192"/>
      </c:barChart>
      <c:catAx>
        <c:axId val="26285193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9192"/>
        <c:crosses val="autoZero"/>
        <c:auto val="1"/>
        <c:lblAlgn val="ctr"/>
        <c:lblOffset val="100"/>
        <c:tickLblSkip val="1"/>
        <c:tickMarkSkip val="1"/>
        <c:noMultiLvlLbl val="0"/>
      </c:catAx>
      <c:valAx>
        <c:axId val="26284919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51936"/>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'Ute - Migraciones'!$A$6:$A$19</c:f>
              <c:strCache>
                <c:ptCount val="14"/>
                <c:pt idx="0">
                  <c:v>ene-23</c:v>
                </c:pt>
                <c:pt idx="1">
                  <c:v>feb-23</c:v>
                </c:pt>
                <c:pt idx="2">
                  <c:v>mar-23</c:v>
                </c:pt>
                <c:pt idx="3">
                  <c:v>abr-23</c:v>
                </c:pt>
                <c:pt idx="4">
                  <c:v>may-23</c:v>
                </c:pt>
                <c:pt idx="5">
                  <c:v>jun-23</c:v>
                </c:pt>
                <c:pt idx="6">
                  <c:v>jul-23</c:v>
                </c:pt>
                <c:pt idx="7">
                  <c:v>ago-23</c:v>
                </c:pt>
                <c:pt idx="8">
                  <c:v>sep-23</c:v>
                </c:pt>
                <c:pt idx="9">
                  <c:v>oct-23</c:v>
                </c:pt>
                <c:pt idx="10">
                  <c:v>nov-23</c:v>
                </c:pt>
                <c:pt idx="11">
                  <c:v>dic-23</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'Ute - Migraciones'!$A$6:$A$19</c:f>
              <c:strCache>
                <c:ptCount val="14"/>
                <c:pt idx="0">
                  <c:v>ene-23</c:v>
                </c:pt>
                <c:pt idx="1">
                  <c:v>feb-23</c:v>
                </c:pt>
                <c:pt idx="2">
                  <c:v>mar-23</c:v>
                </c:pt>
                <c:pt idx="3">
                  <c:v>abr-23</c:v>
                </c:pt>
                <c:pt idx="4">
                  <c:v>may-23</c:v>
                </c:pt>
                <c:pt idx="5">
                  <c:v>jun-23</c:v>
                </c:pt>
                <c:pt idx="6">
                  <c:v>jul-23</c:v>
                </c:pt>
                <c:pt idx="7">
                  <c:v>ago-23</c:v>
                </c:pt>
                <c:pt idx="8">
                  <c:v>sep-23</c:v>
                </c:pt>
                <c:pt idx="9">
                  <c:v>oct-23</c:v>
                </c:pt>
                <c:pt idx="10">
                  <c:v>nov-23</c:v>
                </c:pt>
                <c:pt idx="11">
                  <c:v>dic-23</c:v>
                </c:pt>
                <c:pt idx="13">
                  <c:v>Total/Prom</c:v>
                </c:pt>
              </c:strCache>
            </c:strRef>
          </c:cat>
          <c:val>
            <c:numRef>
              <c:f>'Ute - Migraciones'!$F$6:$F$19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1000</c:v>
                </c:pt>
              </c:numCache>
            </c:numRef>
          </c:val>
          <c:extLst>
            <c:ext xmlns:c16="http://schemas.microsoft.com/office/drawing/2014/chart" uri="{C3380CC4-5D6E-409C-BE32-E72D297353CC}">
              <c16:uniqueId val="{00000000-34DD-472F-9F0F-CA2E605280ED}"/>
            </c:ext>
          </c:extLst>
        </c:ser>
        <c:dLbls>
          <c:showLegendKey val="0"/>
          <c:showVal val="0"/>
          <c:showCatName val="0"/>
          <c:showSerName val="0"/>
          <c:showPercent val="0"/>
          <c:showBubbleSize val="0"/>
        </c:dLbls>
        <c:gapWidth val="150"/>
        <c:axId val="262846056"/>
        <c:axId val="262851152"/>
      </c:barChart>
      <c:catAx>
        <c:axId val="262846056"/>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2851152"/>
        <c:crosses val="autoZero"/>
        <c:auto val="1"/>
        <c:lblAlgn val="ctr"/>
        <c:lblOffset val="100"/>
        <c:tickLblSkip val="1"/>
        <c:tickMarkSkip val="1"/>
        <c:noMultiLvlLbl val="0"/>
      </c:catAx>
      <c:valAx>
        <c:axId val="262851152"/>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62846056"/>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9BB8-4F3A-B7F8-19470D9938BB}"/>
            </c:ext>
          </c:extLst>
        </c:ser>
        <c:dLbls>
          <c:showLegendKey val="0"/>
          <c:showVal val="0"/>
          <c:showCatName val="0"/>
          <c:showSerName val="0"/>
          <c:showPercent val="0"/>
          <c:showBubbleSize val="0"/>
        </c:dLbls>
        <c:gapWidth val="200"/>
        <c:axId val="262851544"/>
        <c:axId val="262845272"/>
      </c:barChart>
      <c:catAx>
        <c:axId val="26285154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5272"/>
        <c:crosses val="autoZero"/>
        <c:auto val="1"/>
        <c:lblAlgn val="ctr"/>
        <c:lblOffset val="100"/>
        <c:tickLblSkip val="1"/>
        <c:tickMarkSkip val="1"/>
        <c:noMultiLvlLbl val="0"/>
      </c:catAx>
      <c:valAx>
        <c:axId val="262845272"/>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5154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B2FE-4C1F-A79C-A7105FB9CCEB}"/>
            </c:ext>
          </c:extLst>
        </c:ser>
        <c:dLbls>
          <c:showLegendKey val="0"/>
          <c:showVal val="0"/>
          <c:showCatName val="0"/>
          <c:showSerName val="0"/>
          <c:showPercent val="0"/>
          <c:showBubbleSize val="0"/>
        </c:dLbls>
        <c:gapWidth val="200"/>
        <c:axId val="262845664"/>
        <c:axId val="262846840"/>
      </c:barChart>
      <c:catAx>
        <c:axId val="26284566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62846840"/>
        <c:crosses val="autoZero"/>
        <c:auto val="1"/>
        <c:lblAlgn val="ctr"/>
        <c:lblOffset val="100"/>
        <c:tickLblSkip val="1"/>
        <c:tickMarkSkip val="1"/>
        <c:noMultiLvlLbl val="0"/>
      </c:catAx>
      <c:valAx>
        <c:axId val="26284684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6284566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'comandante santa cruz'!$A$6:$A$19</c:f>
              <c:strCache>
                <c:ptCount val="14"/>
                <c:pt idx="0">
                  <c:v>ene-23</c:v>
                </c:pt>
                <c:pt idx="1">
                  <c:v>feb-23</c:v>
                </c:pt>
                <c:pt idx="2">
                  <c:v>mar-23</c:v>
                </c:pt>
                <c:pt idx="3">
                  <c:v>abr-23</c:v>
                </c:pt>
                <c:pt idx="4">
                  <c:v>may-23</c:v>
                </c:pt>
                <c:pt idx="5">
                  <c:v>jun-23</c:v>
                </c:pt>
                <c:pt idx="6">
                  <c:v>jul-23</c:v>
                </c:pt>
                <c:pt idx="7">
                  <c:v>ago-23</c:v>
                </c:pt>
                <c:pt idx="8">
                  <c:v>sep-23</c:v>
                </c:pt>
                <c:pt idx="9">
                  <c:v>oct-23</c:v>
                </c:pt>
                <c:pt idx="10">
                  <c:v>nov-23</c:v>
                </c:pt>
                <c:pt idx="11">
                  <c:v>dic-23</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'comandante santa cruz'!$A$6:$A$19</c:f>
              <c:strCache>
                <c:ptCount val="14"/>
                <c:pt idx="0">
                  <c:v>ene-23</c:v>
                </c:pt>
                <c:pt idx="1">
                  <c:v>feb-23</c:v>
                </c:pt>
                <c:pt idx="2">
                  <c:v>mar-23</c:v>
                </c:pt>
                <c:pt idx="3">
                  <c:v>abr-23</c:v>
                </c:pt>
                <c:pt idx="4">
                  <c:v>may-23</c:v>
                </c:pt>
                <c:pt idx="5">
                  <c:v>jun-23</c:v>
                </c:pt>
                <c:pt idx="6">
                  <c:v>jul-23</c:v>
                </c:pt>
                <c:pt idx="7">
                  <c:v>ago-23</c:v>
                </c:pt>
                <c:pt idx="8">
                  <c:v>sep-23</c:v>
                </c:pt>
                <c:pt idx="9">
                  <c:v>oct-23</c:v>
                </c:pt>
                <c:pt idx="10">
                  <c:v>nov-23</c:v>
                </c:pt>
                <c:pt idx="11">
                  <c:v>dic-23</c:v>
                </c:pt>
                <c:pt idx="13">
                  <c:v>Total/Prom</c:v>
                </c:pt>
              </c:strCache>
            </c:strRef>
          </c:cat>
          <c:val>
            <c:numRef>
              <c:f>'comandante santa cruz'!$F$6:$F$19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695D-4383-90D1-29727ACF644B}"/>
            </c:ext>
          </c:extLst>
        </c:ser>
        <c:dLbls>
          <c:showLegendKey val="0"/>
          <c:showVal val="0"/>
          <c:showCatName val="0"/>
          <c:showSerName val="0"/>
          <c:showPercent val="0"/>
          <c:showBubbleSize val="0"/>
        </c:dLbls>
        <c:gapWidth val="150"/>
        <c:axId val="215122336"/>
        <c:axId val="215123512"/>
      </c:barChart>
      <c:catAx>
        <c:axId val="215122336"/>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123512"/>
        <c:crosses val="autoZero"/>
        <c:auto val="1"/>
        <c:lblAlgn val="ctr"/>
        <c:lblOffset val="100"/>
        <c:tickLblSkip val="1"/>
        <c:tickMarkSkip val="1"/>
        <c:noMultiLvlLbl val="0"/>
      </c:catAx>
      <c:valAx>
        <c:axId val="215123512"/>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122336"/>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5BD8-4250-9A10-E83F4CB05D32}"/>
            </c:ext>
          </c:extLst>
        </c:ser>
        <c:dLbls>
          <c:showLegendKey val="0"/>
          <c:showVal val="0"/>
          <c:showCatName val="0"/>
          <c:showSerName val="0"/>
          <c:showPercent val="0"/>
          <c:showBubbleSize val="0"/>
        </c:dLbls>
        <c:gapWidth val="200"/>
        <c:axId val="215119984"/>
        <c:axId val="215122728"/>
      </c:barChart>
      <c:catAx>
        <c:axId val="21511998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122728"/>
        <c:crosses val="autoZero"/>
        <c:auto val="1"/>
        <c:lblAlgn val="ctr"/>
        <c:lblOffset val="100"/>
        <c:tickLblSkip val="1"/>
        <c:tickMarkSkip val="1"/>
        <c:noMultiLvlLbl val="0"/>
      </c:catAx>
      <c:valAx>
        <c:axId val="21512272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11998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FEEB-4AF7-BD2E-A0FAD01A9F7C}"/>
            </c:ext>
          </c:extLst>
        </c:ser>
        <c:dLbls>
          <c:showLegendKey val="0"/>
          <c:showVal val="0"/>
          <c:showCatName val="0"/>
          <c:showSerName val="0"/>
          <c:showPercent val="0"/>
          <c:showBubbleSize val="0"/>
        </c:dLbls>
        <c:gapWidth val="200"/>
        <c:axId val="215121160"/>
        <c:axId val="215123120"/>
      </c:barChart>
      <c:catAx>
        <c:axId val="215121160"/>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123120"/>
        <c:crosses val="autoZero"/>
        <c:auto val="1"/>
        <c:lblAlgn val="ctr"/>
        <c:lblOffset val="100"/>
        <c:tickLblSkip val="1"/>
        <c:tickMarkSkip val="1"/>
        <c:noMultiLvlLbl val="0"/>
      </c:catAx>
      <c:valAx>
        <c:axId val="215123120"/>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121160"/>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cordoba!$A$6:$A$19</c:f>
              <c:strCache>
                <c:ptCount val="14"/>
                <c:pt idx="0">
                  <c:v>ene-23</c:v>
                </c:pt>
                <c:pt idx="1">
                  <c:v>feb-23</c:v>
                </c:pt>
                <c:pt idx="2">
                  <c:v>mar-23</c:v>
                </c:pt>
                <c:pt idx="3">
                  <c:v>abr-23</c:v>
                </c:pt>
                <c:pt idx="4">
                  <c:v>may-23</c:v>
                </c:pt>
                <c:pt idx="5">
                  <c:v>jun-23</c:v>
                </c:pt>
                <c:pt idx="6">
                  <c:v>jul-23</c:v>
                </c:pt>
                <c:pt idx="7">
                  <c:v>ago-23</c:v>
                </c:pt>
                <c:pt idx="8">
                  <c:v>sep-23</c:v>
                </c:pt>
                <c:pt idx="9">
                  <c:v>oct-23</c:v>
                </c:pt>
                <c:pt idx="10">
                  <c:v>nov-23</c:v>
                </c:pt>
                <c:pt idx="11">
                  <c:v>dic-23</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cordoba!$A$6:$A$19</c:f>
              <c:strCache>
                <c:ptCount val="14"/>
                <c:pt idx="0">
                  <c:v>ene-23</c:v>
                </c:pt>
                <c:pt idx="1">
                  <c:v>feb-23</c:v>
                </c:pt>
                <c:pt idx="2">
                  <c:v>mar-23</c:v>
                </c:pt>
                <c:pt idx="3">
                  <c:v>abr-23</c:v>
                </c:pt>
                <c:pt idx="4">
                  <c:v>may-23</c:v>
                </c:pt>
                <c:pt idx="5">
                  <c:v>jun-23</c:v>
                </c:pt>
                <c:pt idx="6">
                  <c:v>jul-23</c:v>
                </c:pt>
                <c:pt idx="7">
                  <c:v>ago-23</c:v>
                </c:pt>
                <c:pt idx="8">
                  <c:v>sep-23</c:v>
                </c:pt>
                <c:pt idx="9">
                  <c:v>oct-23</c:v>
                </c:pt>
                <c:pt idx="10">
                  <c:v>nov-23</c:v>
                </c:pt>
                <c:pt idx="11">
                  <c:v>dic-23</c:v>
                </c:pt>
                <c:pt idx="13">
                  <c:v>Total/Prom</c:v>
                </c:pt>
              </c:strCache>
            </c:strRef>
          </c:cat>
          <c:val>
            <c:numRef>
              <c:f>cordoba!$F$6:$F$19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210.52631578947367</c:v>
                </c:pt>
              </c:numCache>
            </c:numRef>
          </c:val>
          <c:extLst>
            <c:ext xmlns:c16="http://schemas.microsoft.com/office/drawing/2014/chart" uri="{C3380CC4-5D6E-409C-BE32-E72D297353CC}">
              <c16:uniqueId val="{00000000-3026-4609-9377-D6E0B6E6CD34}"/>
            </c:ext>
          </c:extLst>
        </c:ser>
        <c:dLbls>
          <c:showLegendKey val="0"/>
          <c:showVal val="0"/>
          <c:showCatName val="0"/>
          <c:showSerName val="0"/>
          <c:showPercent val="0"/>
          <c:showBubbleSize val="0"/>
        </c:dLbls>
        <c:gapWidth val="150"/>
        <c:axId val="215121552"/>
        <c:axId val="215123904"/>
      </c:barChart>
      <c:catAx>
        <c:axId val="21512155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15123904"/>
        <c:crosses val="autoZero"/>
        <c:auto val="1"/>
        <c:lblAlgn val="ctr"/>
        <c:lblOffset val="100"/>
        <c:tickLblSkip val="1"/>
        <c:tickMarkSkip val="1"/>
        <c:noMultiLvlLbl val="0"/>
      </c:catAx>
      <c:valAx>
        <c:axId val="215123904"/>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12155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1</c:v>
              </c:pt>
            </c:numLit>
          </c:val>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7B06-47EE-83D9-A48A051F3A00}"/>
            </c:ext>
          </c:extLst>
        </c:ser>
        <c:dLbls>
          <c:showLegendKey val="0"/>
          <c:showVal val="0"/>
          <c:showCatName val="0"/>
          <c:showSerName val="0"/>
          <c:showPercent val="0"/>
          <c:showBubbleSize val="0"/>
        </c:dLbls>
        <c:gapWidth val="200"/>
        <c:axId val="215118024"/>
        <c:axId val="215121944"/>
      </c:barChart>
      <c:catAx>
        <c:axId val="21511802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121944"/>
        <c:crosses val="autoZero"/>
        <c:auto val="1"/>
        <c:lblAlgn val="ctr"/>
        <c:lblOffset val="100"/>
        <c:tickLblSkip val="1"/>
        <c:tickMarkSkip val="1"/>
        <c:noMultiLvlLbl val="0"/>
      </c:catAx>
      <c:valAx>
        <c:axId val="215121944"/>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118024"/>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 footer="0"/>
    <c:pageSetup paperSize="9" orientation="landscape" verticalDpi="0"/>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s-AR"/>
              <a:t>Indices por Obra - Ene 07</a:t>
            </a:r>
          </a:p>
        </c:rich>
      </c:tx>
      <c:overlay val="0"/>
      <c:spPr>
        <a:noFill/>
        <a:ln w="25400">
          <a:noFill/>
        </a:ln>
      </c:spPr>
    </c:title>
    <c:autoTitleDeleted val="0"/>
    <c:plotArea>
      <c:layout/>
      <c:barChart>
        <c:barDir val="col"/>
        <c:grouping val="clustered"/>
        <c:varyColors val="0"/>
        <c:ser>
          <c:idx val="0"/>
          <c:order val="0"/>
          <c:spPr>
            <a:solidFill>
              <a:srgbClr val="FFCC00"/>
            </a:solidFill>
            <a:ln w="12700">
              <a:solidFill>
                <a:srgbClr val="000000"/>
              </a:solidFill>
              <a:prstDash val="solid"/>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'2013'!#¡REF!</c:f>
              <c:numCache>
                <c:formatCode>General</c:formatCode>
                <c:ptCount val="1"/>
                <c:pt idx="0">
                  <c:v>0</c:v>
                </c:pt>
              </c:numCache>
            </c:numRef>
          </c:val>
          <c:extLst>
            <c:ext xmlns:c15="http://schemas.microsoft.com/office/drawing/2012/chart" uri="{02D57815-91ED-43cb-92C2-25804820EDAC}">
              <c15:filteredCategoryTitle>
                <c15:cat>
                  <c:numRef>
                    <c:extLst>
                      <c:ext uri="{02D57815-91ED-43cb-92C2-25804820EDAC}">
                        <c15:formulaRef>
                          <c15:sqref>'2013'!#¡REF!</c15:sqref>
                        </c15:formulaRef>
                      </c:ext>
                    </c:extLst>
                    <c:numCache>
                      <c:formatCode>General</c:formatCode>
                      <c:ptCount val="1"/>
                      <c:pt idx="0">
                        <c:v>0</c:v>
                      </c:pt>
                    </c:numCache>
                  </c:numRef>
                </c15:cat>
              </c15:filteredCategoryTitle>
            </c:ext>
            <c:ext xmlns:c16="http://schemas.microsoft.com/office/drawing/2014/chart" uri="{C3380CC4-5D6E-409C-BE32-E72D297353CC}">
              <c16:uniqueId val="{00000000-AB9E-4978-9F30-1BAC6C2C3FCE}"/>
            </c:ext>
          </c:extLst>
        </c:ser>
        <c:dLbls>
          <c:showLegendKey val="0"/>
          <c:showVal val="0"/>
          <c:showCatName val="0"/>
          <c:showSerName val="0"/>
          <c:showPercent val="0"/>
          <c:showBubbleSize val="0"/>
        </c:dLbls>
        <c:gapWidth val="200"/>
        <c:axId val="215125080"/>
        <c:axId val="215118808"/>
      </c:barChart>
      <c:catAx>
        <c:axId val="215125080"/>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AR"/>
                  <a:t>Obras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2820000" vert="horz"/>
          <a:lstStyle/>
          <a:p>
            <a:pPr>
              <a:defRPr sz="100" b="0" i="0" u="none" strike="noStrike" baseline="0">
                <a:solidFill>
                  <a:srgbClr val="000000"/>
                </a:solidFill>
                <a:latin typeface="Arial"/>
                <a:ea typeface="Arial"/>
                <a:cs typeface="Arial"/>
              </a:defRPr>
            </a:pPr>
            <a:endParaRPr lang="en-US"/>
          </a:p>
        </c:txPr>
        <c:crossAx val="215118808"/>
        <c:crosses val="autoZero"/>
        <c:auto val="1"/>
        <c:lblAlgn val="ctr"/>
        <c:lblOffset val="100"/>
        <c:tickLblSkip val="1"/>
        <c:tickMarkSkip val="1"/>
        <c:noMultiLvlLbl val="0"/>
      </c:catAx>
      <c:valAx>
        <c:axId val="215118808"/>
        <c:scaling>
          <c:orientation val="minMax"/>
        </c:scaling>
        <c:delete val="0"/>
        <c:axPos val="l"/>
        <c:majorGridlines>
          <c:spPr>
            <a:ln w="3175">
              <a:solidFill>
                <a:srgbClr val="000000"/>
              </a:solidFill>
              <a:prstDash val="solid"/>
            </a:ln>
          </c:spPr>
        </c:majorGridlines>
        <c:title>
          <c:tx>
            <c:rich>
              <a:bodyPr/>
              <a:lstStyle/>
              <a:p>
                <a:pPr>
                  <a:defRPr sz="150" b="1" i="0" u="none" strike="noStrike" baseline="0">
                    <a:solidFill>
                      <a:srgbClr val="000000"/>
                    </a:solidFill>
                    <a:latin typeface="Arial"/>
                    <a:ea typeface="Arial"/>
                    <a:cs typeface="Arial"/>
                  </a:defRPr>
                </a:pPr>
                <a:r>
                  <a:rPr lang="es-AR"/>
                  <a:t>Indices de Incidencia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5125080"/>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AR"/>
              <a:t>Indice de Incidencia mensuales Anualizados</a:t>
            </a:r>
          </a:p>
        </c:rich>
      </c:tx>
      <c:layout>
        <c:manualLayout>
          <c:xMode val="edge"/>
          <c:yMode val="edge"/>
          <c:x val="0.23233926757756376"/>
          <c:y val="3.043481491467279E-2"/>
        </c:manualLayout>
      </c:layout>
      <c:overlay val="0"/>
      <c:spPr>
        <a:noFill/>
        <a:ln w="25400">
          <a:noFill/>
        </a:ln>
      </c:spPr>
    </c:title>
    <c:autoTitleDeleted val="0"/>
    <c:plotArea>
      <c:layout>
        <c:manualLayout>
          <c:layoutTarget val="inner"/>
          <c:xMode val="edge"/>
          <c:yMode val="edge"/>
          <c:x val="0.1130299139566526"/>
          <c:y val="0.15000015922231574"/>
          <c:w val="0.86499281375160542"/>
          <c:h val="0.67173984347384985"/>
        </c:manualLayout>
      </c:layout>
      <c:barChart>
        <c:barDir val="col"/>
        <c:grouping val="clustered"/>
        <c:varyColors val="0"/>
        <c:ser>
          <c:idx val="0"/>
          <c:order val="0"/>
          <c:tx>
            <c:strRef>
              <c:f>IMAC!$A$6:$A$19</c:f>
              <c:strCache>
                <c:ptCount val="14"/>
                <c:pt idx="0">
                  <c:v>ene-23</c:v>
                </c:pt>
                <c:pt idx="1">
                  <c:v>feb-23</c:v>
                </c:pt>
                <c:pt idx="2">
                  <c:v>mar-23</c:v>
                </c:pt>
                <c:pt idx="3">
                  <c:v>abr-23</c:v>
                </c:pt>
                <c:pt idx="4">
                  <c:v>may-23</c:v>
                </c:pt>
                <c:pt idx="5">
                  <c:v>jun-23</c:v>
                </c:pt>
                <c:pt idx="6">
                  <c:v>jul-23</c:v>
                </c:pt>
                <c:pt idx="7">
                  <c:v>ago-23</c:v>
                </c:pt>
                <c:pt idx="8">
                  <c:v>sep-23</c:v>
                </c:pt>
                <c:pt idx="9">
                  <c:v>oct-23</c:v>
                </c:pt>
                <c:pt idx="10">
                  <c:v>nov-23</c:v>
                </c:pt>
                <c:pt idx="11">
                  <c:v>dic-23</c:v>
                </c:pt>
                <c:pt idx="13">
                  <c:v>Total/Prom</c:v>
                </c:pt>
              </c:strCache>
            </c:strRef>
          </c:tx>
          <c:spPr>
            <a:solidFill>
              <a:srgbClr val="0000FF"/>
            </a:solidFill>
            <a:ln w="12700">
              <a:solidFill>
                <a:srgbClr val="000000"/>
              </a:solidFill>
              <a:prstDash val="solid"/>
            </a:ln>
          </c:spPr>
          <c:invertIfNegative val="0"/>
          <c:dLbls>
            <c:spPr>
              <a:noFill/>
              <a:ln w="25400">
                <a:noFill/>
              </a:ln>
            </c:spPr>
            <c:txPr>
              <a:bodyPr/>
              <a:lstStyle/>
              <a:p>
                <a:pPr>
                  <a:defRPr sz="7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IMAC!$A$6:$A$19</c:f>
              <c:strCache>
                <c:ptCount val="14"/>
                <c:pt idx="0">
                  <c:v>ene-23</c:v>
                </c:pt>
                <c:pt idx="1">
                  <c:v>feb-23</c:v>
                </c:pt>
                <c:pt idx="2">
                  <c:v>mar-23</c:v>
                </c:pt>
                <c:pt idx="3">
                  <c:v>abr-23</c:v>
                </c:pt>
                <c:pt idx="4">
                  <c:v>may-23</c:v>
                </c:pt>
                <c:pt idx="5">
                  <c:v>jun-23</c:v>
                </c:pt>
                <c:pt idx="6">
                  <c:v>jul-23</c:v>
                </c:pt>
                <c:pt idx="7">
                  <c:v>ago-23</c:v>
                </c:pt>
                <c:pt idx="8">
                  <c:v>sep-23</c:v>
                </c:pt>
                <c:pt idx="9">
                  <c:v>oct-23</c:v>
                </c:pt>
                <c:pt idx="10">
                  <c:v>nov-23</c:v>
                </c:pt>
                <c:pt idx="11">
                  <c:v>dic-23</c:v>
                </c:pt>
                <c:pt idx="13">
                  <c:v>Total/Prom</c:v>
                </c:pt>
              </c:strCache>
            </c:strRef>
          </c:cat>
          <c:val>
            <c:numRef>
              <c:f>IMAC!$F$6:$F$19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3">
                  <c:v>0</c:v>
                </c:pt>
              </c:numCache>
            </c:numRef>
          </c:val>
          <c:extLst>
            <c:ext xmlns:c16="http://schemas.microsoft.com/office/drawing/2014/chart" uri="{C3380CC4-5D6E-409C-BE32-E72D297353CC}">
              <c16:uniqueId val="{00000000-882D-4D6A-9713-AE6111D7979A}"/>
            </c:ext>
          </c:extLst>
        </c:ser>
        <c:dLbls>
          <c:showLegendKey val="0"/>
          <c:showVal val="0"/>
          <c:showCatName val="0"/>
          <c:showSerName val="0"/>
          <c:showPercent val="0"/>
          <c:showBubbleSize val="0"/>
        </c:dLbls>
        <c:gapWidth val="150"/>
        <c:axId val="215119200"/>
        <c:axId val="264240784"/>
      </c:barChart>
      <c:catAx>
        <c:axId val="215119200"/>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s-AR"/>
                  <a:t>Mes y Año</a:t>
                </a:r>
              </a:p>
            </c:rich>
          </c:tx>
          <c:layout>
            <c:manualLayout>
              <c:xMode val="edge"/>
              <c:yMode val="edge"/>
              <c:x val="0.49607573347641976"/>
              <c:y val="0.919566193493326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600" b="0" i="0" u="none" strike="noStrike" baseline="0">
                <a:solidFill>
                  <a:srgbClr val="000000"/>
                </a:solidFill>
                <a:latin typeface="Arial"/>
                <a:ea typeface="Arial"/>
                <a:cs typeface="Arial"/>
              </a:defRPr>
            </a:pPr>
            <a:endParaRPr lang="en-US"/>
          </a:p>
        </c:txPr>
        <c:crossAx val="264240784"/>
        <c:crosses val="autoZero"/>
        <c:auto val="1"/>
        <c:lblAlgn val="ctr"/>
        <c:lblOffset val="100"/>
        <c:tickLblSkip val="1"/>
        <c:tickMarkSkip val="1"/>
        <c:noMultiLvlLbl val="0"/>
      </c:catAx>
      <c:valAx>
        <c:axId val="264240784"/>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s-AR"/>
                  <a:t>Indices</a:t>
                </a:r>
              </a:p>
            </c:rich>
          </c:tx>
          <c:layout>
            <c:manualLayout>
              <c:xMode val="edge"/>
              <c:yMode val="edge"/>
              <c:x val="2.511775865703391E-2"/>
              <c:y val="0.436956985560659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15119200"/>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 footer="0"/>
    <c:pageSetup paperSize="9" orientation="landscape" verticalDpi="0"/>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chart" Target="../charts/chart50.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54.xml"/><Relationship Id="rId1" Type="http://schemas.openxmlformats.org/officeDocument/2006/relationships/chart" Target="../charts/chart53.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61.xml"/><Relationship Id="rId1" Type="http://schemas.openxmlformats.org/officeDocument/2006/relationships/chart" Target="../charts/chart60.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68.xml"/><Relationship Id="rId1" Type="http://schemas.openxmlformats.org/officeDocument/2006/relationships/chart" Target="../charts/chart67.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70.xml"/><Relationship Id="rId1" Type="http://schemas.openxmlformats.org/officeDocument/2006/relationships/chart" Target="../charts/chart69.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73.xml"/><Relationship Id="rId2" Type="http://schemas.openxmlformats.org/officeDocument/2006/relationships/chart" Target="../charts/chart72.xml"/><Relationship Id="rId1" Type="http://schemas.openxmlformats.org/officeDocument/2006/relationships/chart" Target="../charts/chart71.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76.xml"/><Relationship Id="rId2" Type="http://schemas.openxmlformats.org/officeDocument/2006/relationships/chart" Target="../charts/chart75.xml"/><Relationship Id="rId1" Type="http://schemas.openxmlformats.org/officeDocument/2006/relationships/chart" Target="../charts/chart74.xml"/></Relationships>
</file>

<file path=xl/drawings/_rels/drawing32.xml.rels><?xml version="1.0" encoding="UTF-8" standalone="yes"?>
<Relationships xmlns="http://schemas.openxmlformats.org/package/2006/relationships"><Relationship Id="rId2" Type="http://schemas.openxmlformats.org/officeDocument/2006/relationships/chart" Target="../charts/chart78.xml"/><Relationship Id="rId1" Type="http://schemas.openxmlformats.org/officeDocument/2006/relationships/chart" Target="../charts/chart77.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_rels/drawing34.xml.rels><?xml version="1.0" encoding="UTF-8" standalone="yes"?>
<Relationships xmlns="http://schemas.openxmlformats.org/package/2006/relationships"><Relationship Id="rId2" Type="http://schemas.openxmlformats.org/officeDocument/2006/relationships/chart" Target="../charts/chart83.xml"/><Relationship Id="rId1" Type="http://schemas.openxmlformats.org/officeDocument/2006/relationships/chart" Target="../charts/chart82.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_rels/drawing36.xml.rels><?xml version="1.0" encoding="UTF-8" standalone="yes"?>
<Relationships xmlns="http://schemas.openxmlformats.org/package/2006/relationships"><Relationship Id="rId3" Type="http://schemas.openxmlformats.org/officeDocument/2006/relationships/chart" Target="../charts/chart89.xml"/><Relationship Id="rId2" Type="http://schemas.openxmlformats.org/officeDocument/2006/relationships/chart" Target="../charts/chart88.xml"/><Relationship Id="rId1" Type="http://schemas.openxmlformats.org/officeDocument/2006/relationships/chart" Target="../charts/chart87.xml"/></Relationships>
</file>

<file path=xl/drawings/_rels/drawing37.xml.rels><?xml version="1.0" encoding="UTF-8" standalone="yes"?>
<Relationships xmlns="http://schemas.openxmlformats.org/package/2006/relationships"><Relationship Id="rId3" Type="http://schemas.openxmlformats.org/officeDocument/2006/relationships/chart" Target="../charts/chart92.xml"/><Relationship Id="rId2" Type="http://schemas.openxmlformats.org/officeDocument/2006/relationships/chart" Target="../charts/chart91.xml"/><Relationship Id="rId1" Type="http://schemas.openxmlformats.org/officeDocument/2006/relationships/chart" Target="../charts/chart90.xml"/></Relationships>
</file>

<file path=xl/drawings/_rels/drawing38.xml.rels><?xml version="1.0" encoding="UTF-8" standalone="yes"?>
<Relationships xmlns="http://schemas.openxmlformats.org/package/2006/relationships"><Relationship Id="rId3" Type="http://schemas.openxmlformats.org/officeDocument/2006/relationships/chart" Target="../charts/chart95.xml"/><Relationship Id="rId2" Type="http://schemas.openxmlformats.org/officeDocument/2006/relationships/chart" Target="../charts/chart94.xml"/><Relationship Id="rId1" Type="http://schemas.openxmlformats.org/officeDocument/2006/relationships/chart" Target="../charts/chart93.xml"/></Relationships>
</file>

<file path=xl/drawings/_rels/drawing39.xml.rels><?xml version="1.0" encoding="UTF-8" standalone="yes"?>
<Relationships xmlns="http://schemas.openxmlformats.org/package/2006/relationships"><Relationship Id="rId3" Type="http://schemas.openxmlformats.org/officeDocument/2006/relationships/chart" Target="../charts/chart98.xml"/><Relationship Id="rId2" Type="http://schemas.openxmlformats.org/officeDocument/2006/relationships/chart" Target="../charts/chart97.xml"/><Relationship Id="rId1" Type="http://schemas.openxmlformats.org/officeDocument/2006/relationships/chart" Target="../charts/chart96.xml"/></Relationships>
</file>

<file path=xl/drawings/_rels/drawing40.xml.rels><?xml version="1.0" encoding="UTF-8" standalone="yes"?>
<Relationships xmlns="http://schemas.openxmlformats.org/package/2006/relationships"><Relationship Id="rId3" Type="http://schemas.openxmlformats.org/officeDocument/2006/relationships/chart" Target="../charts/chart101.xml"/><Relationship Id="rId2" Type="http://schemas.openxmlformats.org/officeDocument/2006/relationships/chart" Target="../charts/chart100.xml"/><Relationship Id="rId1" Type="http://schemas.openxmlformats.org/officeDocument/2006/relationships/chart" Target="../charts/chart99.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104.xml"/><Relationship Id="rId2" Type="http://schemas.openxmlformats.org/officeDocument/2006/relationships/chart" Target="../charts/chart103.xml"/><Relationship Id="rId1" Type="http://schemas.openxmlformats.org/officeDocument/2006/relationships/chart" Target="../charts/chart102.xml"/></Relationships>
</file>

<file path=xl/drawings/_rels/drawing42.xml.rels><?xml version="1.0" encoding="UTF-8" standalone="yes"?>
<Relationships xmlns="http://schemas.openxmlformats.org/package/2006/relationships"><Relationship Id="rId3" Type="http://schemas.openxmlformats.org/officeDocument/2006/relationships/chart" Target="../charts/chart107.xml"/><Relationship Id="rId2" Type="http://schemas.openxmlformats.org/officeDocument/2006/relationships/chart" Target="../charts/chart106.xml"/><Relationship Id="rId1" Type="http://schemas.openxmlformats.org/officeDocument/2006/relationships/chart" Target="../charts/chart105.xml"/></Relationships>
</file>

<file path=xl/drawings/drawing1.xml><?xml version="1.0" encoding="utf-8"?>
<xdr:wsDr xmlns:xdr="http://schemas.openxmlformats.org/drawingml/2006/spreadsheetDrawing" xmlns:a="http://schemas.openxmlformats.org/drawingml/2006/main">
  <xdr:twoCellAnchor>
    <xdr:from>
      <xdr:col>2</xdr:col>
      <xdr:colOff>571500</xdr:colOff>
      <xdr:row>8</xdr:row>
      <xdr:rowOff>57150</xdr:rowOff>
    </xdr:from>
    <xdr:to>
      <xdr:col>12</xdr:col>
      <xdr:colOff>962025</xdr:colOff>
      <xdr:row>38</xdr:row>
      <xdr:rowOff>19050</xdr:rowOff>
    </xdr:to>
    <xdr:graphicFrame macro="">
      <xdr:nvGraphicFramePr>
        <xdr:cNvPr id="2" name="Gráfico 1">
          <a:extLst>
            <a:ext uri="{FF2B5EF4-FFF2-40B4-BE49-F238E27FC236}">
              <a16:creationId xmlns:a16="http://schemas.microsoft.com/office/drawing/2014/main" id="{CD6E9CEE-393C-B2AD-E762-2DB8E6EB8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81277457-9514-4877-8BEB-D1B7939F6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5FEFCF55-526B-4274-A71C-315686590FBB}"/>
            </a:ext>
            <a:ext uri="{147F2762-F138-4A5C-976F-8EAC2B608ADB}">
              <a16:predDERef xmlns:a16="http://schemas.microsoft.com/office/drawing/2014/main" pred="{81277457-9514-4877-8BEB-D1B7939F6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295F6769-30B5-44F8-A56F-61656C14C843}"/>
            </a:ext>
            <a:ext uri="{147F2762-F138-4A5C-976F-8EAC2B608ADB}">
              <a16:predDERef xmlns:a16="http://schemas.microsoft.com/office/drawing/2014/main" pred="{5FEFCF55-526B-4274-A71C-315686590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45C4DA90-0F10-4D6E-B2D3-B634FE9B4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9AD2A0B4-5746-4CA3-898F-20EEE1959409}"/>
            </a:ext>
            <a:ext uri="{147F2762-F138-4A5C-976F-8EAC2B608ADB}">
              <a16:predDERef xmlns:a16="http://schemas.microsoft.com/office/drawing/2014/main" pred="{45C4DA90-0F10-4D6E-B2D3-B634FE9B4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6C18959A-E3AE-4174-A669-23244B16E523}"/>
            </a:ext>
            <a:ext uri="{147F2762-F138-4A5C-976F-8EAC2B608ADB}">
              <a16:predDERef xmlns:a16="http://schemas.microsoft.com/office/drawing/2014/main" pred="{9AD2A0B4-5746-4CA3-898F-20EEE1959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5F17BC40-102F-43ED-84ED-1161AF40B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6F271939-840C-4140-AFB9-CD0E41248B10}"/>
            </a:ext>
            <a:ext uri="{147F2762-F138-4A5C-976F-8EAC2B608ADB}">
              <a16:predDERef xmlns:a16="http://schemas.microsoft.com/office/drawing/2014/main" pred="{5F17BC40-102F-43ED-84ED-1161AF40B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76225102-5276-49DD-BECD-577EF9666FD5}"/>
            </a:ext>
            <a:ext uri="{147F2762-F138-4A5C-976F-8EAC2B608ADB}">
              <a16:predDERef xmlns:a16="http://schemas.microsoft.com/office/drawing/2014/main" pred="{6F271939-840C-4140-AFB9-CD0E41248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73BD8C05-2B68-47E9-A47E-0A77BF006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2B3252E0-28A2-4CED-A741-FA050BEAA0CC}"/>
            </a:ext>
            <a:ext uri="{147F2762-F138-4A5C-976F-8EAC2B608ADB}">
              <a16:predDERef xmlns:a16="http://schemas.microsoft.com/office/drawing/2014/main" pred="{73BD8C05-2B68-47E9-A47E-0A77BF006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05F1EE68-4559-44A9-96CF-C673DE8D236F}"/>
            </a:ext>
            <a:ext uri="{147F2762-F138-4A5C-976F-8EAC2B608ADB}">
              <a16:predDERef xmlns:a16="http://schemas.microsoft.com/office/drawing/2014/main" pred="{2B3252E0-28A2-4CED-A741-FA050BEAA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25B9605C-8912-4893-93E4-74844F02A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3" name="Chart 2">
          <a:extLst>
            <a:ext uri="{FF2B5EF4-FFF2-40B4-BE49-F238E27FC236}">
              <a16:creationId xmlns:a16="http://schemas.microsoft.com/office/drawing/2014/main" id="{20312AD9-CBB2-4592-BE5C-00DB2980E5D9}"/>
            </a:ext>
            <a:ext uri="{147F2762-F138-4A5C-976F-8EAC2B608ADB}">
              <a16:predDERef xmlns:a16="http://schemas.microsoft.com/office/drawing/2014/main" pred="{25B9605C-8912-4893-93E4-74844F02A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AAFB4686-F55E-414B-93C1-0A5DDBB37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3" name="Chart 2">
          <a:extLst>
            <a:ext uri="{FF2B5EF4-FFF2-40B4-BE49-F238E27FC236}">
              <a16:creationId xmlns:a16="http://schemas.microsoft.com/office/drawing/2014/main" id="{EDB264F1-1563-4BB5-8E61-54281B2E6655}"/>
            </a:ext>
            <a:ext uri="{147F2762-F138-4A5C-976F-8EAC2B608ADB}">
              <a16:predDERef xmlns:a16="http://schemas.microsoft.com/office/drawing/2014/main" pred="{AAFB4686-F55E-414B-93C1-0A5DDBB37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2">
          <a:extLst>
            <a:ext uri="{FF2B5EF4-FFF2-40B4-BE49-F238E27FC236}">
              <a16:creationId xmlns:a16="http://schemas.microsoft.com/office/drawing/2014/main" id="{BC974425-7079-468B-AA11-B10AC5795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142875</xdr:rowOff>
    </xdr:from>
    <xdr:to>
      <xdr:col>5</xdr:col>
      <xdr:colOff>828675</xdr:colOff>
      <xdr:row>56</xdr:row>
      <xdr:rowOff>0</xdr:rowOff>
    </xdr:to>
    <xdr:graphicFrame macro="">
      <xdr:nvGraphicFramePr>
        <xdr:cNvPr id="3" name="Chart 6">
          <a:extLst>
            <a:ext uri="{FF2B5EF4-FFF2-40B4-BE49-F238E27FC236}">
              <a16:creationId xmlns:a16="http://schemas.microsoft.com/office/drawing/2014/main" id="{9A6D6797-87D4-46D2-8B17-E7C79EA88D0C}"/>
            </a:ext>
            <a:ext uri="{147F2762-F138-4A5C-976F-8EAC2B608ADB}">
              <a16:predDERef xmlns:a16="http://schemas.microsoft.com/office/drawing/2014/main" pred="{BC974425-7079-468B-AA11-B10AC5795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445C6504-1B17-4D54-88B3-7D1729D24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049643C4-45BC-48EB-BE39-55B4418A9408}"/>
            </a:ext>
            <a:ext uri="{147F2762-F138-4A5C-976F-8EAC2B608ADB}">
              <a16:predDERef xmlns:a16="http://schemas.microsoft.com/office/drawing/2014/main" pred="{445C6504-1B17-4D54-88B3-7D1729D24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9E0262D4-6933-48F4-A3D6-EF788BCF4F28}"/>
            </a:ext>
            <a:ext uri="{147F2762-F138-4A5C-976F-8EAC2B608ADB}">
              <a16:predDERef xmlns:a16="http://schemas.microsoft.com/office/drawing/2014/main" pred="{049643C4-45BC-48EB-BE39-55B4418A9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2">
          <a:extLst>
            <a:ext uri="{FF2B5EF4-FFF2-40B4-BE49-F238E27FC236}">
              <a16:creationId xmlns:a16="http://schemas.microsoft.com/office/drawing/2014/main" id="{DD515C21-B4DD-47D5-9FFE-B35C6CDBE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142875</xdr:rowOff>
    </xdr:from>
    <xdr:to>
      <xdr:col>5</xdr:col>
      <xdr:colOff>828675</xdr:colOff>
      <xdr:row>56</xdr:row>
      <xdr:rowOff>0</xdr:rowOff>
    </xdr:to>
    <xdr:graphicFrame macro="">
      <xdr:nvGraphicFramePr>
        <xdr:cNvPr id="3" name="Chart 6">
          <a:extLst>
            <a:ext uri="{FF2B5EF4-FFF2-40B4-BE49-F238E27FC236}">
              <a16:creationId xmlns:a16="http://schemas.microsoft.com/office/drawing/2014/main" id="{485D8261-E26B-4739-AD41-E44A29AC04C9}"/>
            </a:ext>
            <a:ext uri="{147F2762-F138-4A5C-976F-8EAC2B608ADB}">
              <a16:predDERef xmlns:a16="http://schemas.microsoft.com/office/drawing/2014/main" pred="{DD515C21-B4DD-47D5-9FFE-B35C6CDBE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0FDB1D51-482D-4222-8A41-2BF81362E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FE606139-B1E7-4F69-8478-134FD2F5CC59}"/>
            </a:ext>
            <a:ext uri="{147F2762-F138-4A5C-976F-8EAC2B608ADB}">
              <a16:predDERef xmlns:a16="http://schemas.microsoft.com/office/drawing/2014/main" pred="{0FDB1D51-482D-4222-8A41-2BF81362E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03D1945B-D89A-4F79-8AF8-E203D4366FAC}"/>
            </a:ext>
            <a:ext uri="{147F2762-F138-4A5C-976F-8EAC2B608ADB}">
              <a16:predDERef xmlns:a16="http://schemas.microsoft.com/office/drawing/2014/main" pred="{FE606139-B1E7-4F69-8478-134FD2F5C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02DE2C54-36CA-469E-8C13-1E6C6F556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51</xdr:row>
      <xdr:rowOff>104775</xdr:rowOff>
    </xdr:from>
    <xdr:to>
      <xdr:col>5</xdr:col>
      <xdr:colOff>914400</xdr:colOff>
      <xdr:row>74</xdr:row>
      <xdr:rowOff>133350</xdr:rowOff>
    </xdr:to>
    <xdr:graphicFrame macro="">
      <xdr:nvGraphicFramePr>
        <xdr:cNvPr id="3" name="Chart 2">
          <a:extLst>
            <a:ext uri="{FF2B5EF4-FFF2-40B4-BE49-F238E27FC236}">
              <a16:creationId xmlns:a16="http://schemas.microsoft.com/office/drawing/2014/main" id="{4CC4F792-1682-45AD-9F33-C499760EEE65}"/>
            </a:ext>
            <a:ext uri="{147F2762-F138-4A5C-976F-8EAC2B608ADB}">
              <a16:predDERef xmlns:a16="http://schemas.microsoft.com/office/drawing/2014/main" pred="{02DE2C54-36CA-469E-8C13-1E6C6F556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A3AB14FB-A904-4459-85F5-03FCE3D08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51</xdr:row>
      <xdr:rowOff>104775</xdr:rowOff>
    </xdr:from>
    <xdr:to>
      <xdr:col>5</xdr:col>
      <xdr:colOff>914400</xdr:colOff>
      <xdr:row>74</xdr:row>
      <xdr:rowOff>133350</xdr:rowOff>
    </xdr:to>
    <xdr:graphicFrame macro="">
      <xdr:nvGraphicFramePr>
        <xdr:cNvPr id="3" name="Chart 2">
          <a:extLst>
            <a:ext uri="{FF2B5EF4-FFF2-40B4-BE49-F238E27FC236}">
              <a16:creationId xmlns:a16="http://schemas.microsoft.com/office/drawing/2014/main" id="{02F992B5-5602-4479-BF10-2FC655CD3F2E}"/>
            </a:ext>
            <a:ext uri="{147F2762-F138-4A5C-976F-8EAC2B608ADB}">
              <a16:predDERef xmlns:a16="http://schemas.microsoft.com/office/drawing/2014/main" pred="{A3AB14FB-A904-4459-85F5-03FCE3D08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50DA2645-E136-4C10-8751-4B0EC7E2B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BA5D61AE-6843-46D4-847B-FAF1C3B2C7A4}"/>
            </a:ext>
            <a:ext uri="{147F2762-F138-4A5C-976F-8EAC2B608ADB}">
              <a16:predDERef xmlns:a16="http://schemas.microsoft.com/office/drawing/2014/main" pred="{50DA2645-E136-4C10-8751-4B0EC7E2B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2F3FC8C7-1EC8-4967-9700-13E5F92CE3E0}"/>
            </a:ext>
            <a:ext uri="{147F2762-F138-4A5C-976F-8EAC2B608ADB}">
              <a16:predDERef xmlns:a16="http://schemas.microsoft.com/office/drawing/2014/main" pred="{BA5D61AE-6843-46D4-847B-FAF1C3B2C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43DB9444-0FF6-44B8-9A43-BE71CACBC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56971D6D-EBEC-4DBE-B75E-BBF74DAD5DFA}"/>
            </a:ext>
            <a:ext uri="{147F2762-F138-4A5C-976F-8EAC2B608ADB}">
              <a16:predDERef xmlns:a16="http://schemas.microsoft.com/office/drawing/2014/main" pred="{43DB9444-0FF6-44B8-9A43-BE71CACBC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7B397E18-42F9-479A-B0E8-E9ABAD4D216A}"/>
            </a:ext>
            <a:ext uri="{147F2762-F138-4A5C-976F-8EAC2B608ADB}">
              <a16:predDERef xmlns:a16="http://schemas.microsoft.com/office/drawing/2014/main" pred="{56971D6D-EBEC-4DBE-B75E-BBF74DAD5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EDC89413-17A8-4C57-9D8F-9259E9DB5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37FE15D3-3554-4FA1-B1A0-AF9DF34596A7}"/>
            </a:ext>
            <a:ext uri="{147F2762-F138-4A5C-976F-8EAC2B608ADB}">
              <a16:predDERef xmlns:a16="http://schemas.microsoft.com/office/drawing/2014/main" pred="{EDC89413-17A8-4C57-9D8F-9259E9DB5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B9DDF685-EDD9-43A8-9BD7-425EA30BCD29}"/>
            </a:ext>
            <a:ext uri="{147F2762-F138-4A5C-976F-8EAC2B608ADB}">
              <a16:predDERef xmlns:a16="http://schemas.microsoft.com/office/drawing/2014/main" pred="{37FE15D3-3554-4FA1-B1A0-AF9DF3459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52A76746-332A-4E83-8723-6B457A05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3" name="Chart 2">
          <a:extLst>
            <a:ext uri="{FF2B5EF4-FFF2-40B4-BE49-F238E27FC236}">
              <a16:creationId xmlns:a16="http://schemas.microsoft.com/office/drawing/2014/main" id="{2EBBAFF3-7090-4F2C-82E7-E5AB21E6E027}"/>
            </a:ext>
            <a:ext uri="{147F2762-F138-4A5C-976F-8EAC2B608ADB}">
              <a16:predDERef xmlns:a16="http://schemas.microsoft.com/office/drawing/2014/main" pred="{52A76746-332A-4E83-8723-6B457A05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8C56F359-3DCD-4839-B789-B5EA6D28F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3" name="Chart 2">
          <a:extLst>
            <a:ext uri="{FF2B5EF4-FFF2-40B4-BE49-F238E27FC236}">
              <a16:creationId xmlns:a16="http://schemas.microsoft.com/office/drawing/2014/main" id="{B424D5B3-95D1-4E68-B47F-4E20FC0B5510}"/>
            </a:ext>
            <a:ext uri="{147F2762-F138-4A5C-976F-8EAC2B608ADB}">
              <a16:predDERef xmlns:a16="http://schemas.microsoft.com/office/drawing/2014/main" pred="{8C56F359-3DCD-4839-B789-B5EA6D28F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2">
          <a:extLst>
            <a:ext uri="{FF2B5EF4-FFF2-40B4-BE49-F238E27FC236}">
              <a16:creationId xmlns:a16="http://schemas.microsoft.com/office/drawing/2014/main" id="{C48C1073-D38B-4EED-9299-BE43883C4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142875</xdr:rowOff>
    </xdr:from>
    <xdr:to>
      <xdr:col>5</xdr:col>
      <xdr:colOff>828675</xdr:colOff>
      <xdr:row>56</xdr:row>
      <xdr:rowOff>0</xdr:rowOff>
    </xdr:to>
    <xdr:graphicFrame macro="">
      <xdr:nvGraphicFramePr>
        <xdr:cNvPr id="3" name="Chart 6">
          <a:extLst>
            <a:ext uri="{FF2B5EF4-FFF2-40B4-BE49-F238E27FC236}">
              <a16:creationId xmlns:a16="http://schemas.microsoft.com/office/drawing/2014/main" id="{93D6C746-78F6-4214-969B-93080B167DC0}"/>
            </a:ext>
            <a:ext uri="{147F2762-F138-4A5C-976F-8EAC2B608ADB}">
              <a16:predDERef xmlns:a16="http://schemas.microsoft.com/office/drawing/2014/main" pred="{C48C1073-D38B-4EED-9299-BE43883C4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1B876FFF-E174-4299-AD85-6D1D894CE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FE86F64A-D1C3-4592-8CB1-04025A3452D8}"/>
            </a:ext>
            <a:ext uri="{147F2762-F138-4A5C-976F-8EAC2B608ADB}">
              <a16:predDERef xmlns:a16="http://schemas.microsoft.com/office/drawing/2014/main" pred="{1B876FFF-E174-4299-AD85-6D1D894CE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37C57D1A-3E0E-450E-98C4-60D53968E652}"/>
            </a:ext>
            <a:ext uri="{147F2762-F138-4A5C-976F-8EAC2B608ADB}">
              <a16:predDERef xmlns:a16="http://schemas.microsoft.com/office/drawing/2014/main" pred="{FE86F64A-D1C3-4592-8CB1-04025A345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BD0558E6-B0E8-4EB8-9FAD-F73CABCA9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E6E9F83E-7609-4C9F-9A75-DE229E13E894}"/>
            </a:ext>
            <a:ext uri="{147F2762-F138-4A5C-976F-8EAC2B608ADB}">
              <a16:predDERef xmlns:a16="http://schemas.microsoft.com/office/drawing/2014/main" pred="{BD0558E6-B0E8-4EB8-9FAD-F73CABCA9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4B96C221-D3E4-4523-8C30-71324B34E57B}"/>
            </a:ext>
            <a:ext uri="{147F2762-F138-4A5C-976F-8EAC2B608ADB}">
              <a16:predDERef xmlns:a16="http://schemas.microsoft.com/office/drawing/2014/main" pred="{E6E9F83E-7609-4C9F-9A75-DE229E13E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10242" name="Chart 2">
          <a:extLst>
            <a:ext uri="{FF2B5EF4-FFF2-40B4-BE49-F238E27FC236}">
              <a16:creationId xmlns:a16="http://schemas.microsoft.com/office/drawing/2014/main" id="{00000000-0008-0000-0000-00000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142875</xdr:rowOff>
    </xdr:from>
    <xdr:to>
      <xdr:col>5</xdr:col>
      <xdr:colOff>828675</xdr:colOff>
      <xdr:row>56</xdr:row>
      <xdr:rowOff>0</xdr:rowOff>
    </xdr:to>
    <xdr:graphicFrame macro="">
      <xdr:nvGraphicFramePr>
        <xdr:cNvPr id="10246" name="Chart 6">
          <a:extLst>
            <a:ext uri="{FF2B5EF4-FFF2-40B4-BE49-F238E27FC236}">
              <a16:creationId xmlns:a16="http://schemas.microsoft.com/office/drawing/2014/main" id="{00000000-0008-0000-0000-000006280000}"/>
            </a:ext>
            <a:ext uri="{147F2762-F138-4A5C-976F-8EAC2B608ADB}">
              <a16:predDERef xmlns:a16="http://schemas.microsoft.com/office/drawing/2014/main" pred="{00000000-0008-0000-0000-00000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3D17FFEC-3C6A-475C-BDBB-1568151F8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4A8AFF1C-7999-47A3-AD13-1750E240BF02}"/>
            </a:ext>
            <a:ext uri="{147F2762-F138-4A5C-976F-8EAC2B608ADB}">
              <a16:predDERef xmlns:a16="http://schemas.microsoft.com/office/drawing/2014/main" pred="{3D17FFEC-3C6A-475C-BDBB-1568151F8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92BB8FBE-9BE6-46DE-941E-E814101798E6}"/>
            </a:ext>
            <a:ext uri="{147F2762-F138-4A5C-976F-8EAC2B608ADB}">
              <a16:predDERef xmlns:a16="http://schemas.microsoft.com/office/drawing/2014/main" pred="{4A8AFF1C-7999-47A3-AD13-1750E240B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BE6730A0-C7CB-4BFC-A5B1-60CE34F8A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51</xdr:row>
      <xdr:rowOff>104775</xdr:rowOff>
    </xdr:from>
    <xdr:to>
      <xdr:col>5</xdr:col>
      <xdr:colOff>914400</xdr:colOff>
      <xdr:row>74</xdr:row>
      <xdr:rowOff>133350</xdr:rowOff>
    </xdr:to>
    <xdr:graphicFrame macro="">
      <xdr:nvGraphicFramePr>
        <xdr:cNvPr id="3" name="Chart 2">
          <a:extLst>
            <a:ext uri="{FF2B5EF4-FFF2-40B4-BE49-F238E27FC236}">
              <a16:creationId xmlns:a16="http://schemas.microsoft.com/office/drawing/2014/main" id="{C068E700-4DDF-4850-A9BC-B5200F93CE42}"/>
            </a:ext>
            <a:ext uri="{147F2762-F138-4A5C-976F-8EAC2B608ADB}">
              <a16:predDERef xmlns:a16="http://schemas.microsoft.com/office/drawing/2014/main" pred="{BE6730A0-C7CB-4BFC-A5B1-60CE34F8A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470909BD-1E4A-45B7-8019-84D5E02F5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51</xdr:row>
      <xdr:rowOff>104775</xdr:rowOff>
    </xdr:from>
    <xdr:to>
      <xdr:col>5</xdr:col>
      <xdr:colOff>914400</xdr:colOff>
      <xdr:row>74</xdr:row>
      <xdr:rowOff>133350</xdr:rowOff>
    </xdr:to>
    <xdr:graphicFrame macro="">
      <xdr:nvGraphicFramePr>
        <xdr:cNvPr id="3" name="Chart 2">
          <a:extLst>
            <a:ext uri="{FF2B5EF4-FFF2-40B4-BE49-F238E27FC236}">
              <a16:creationId xmlns:a16="http://schemas.microsoft.com/office/drawing/2014/main" id="{62A5EE18-EE4A-48F5-AA98-CDC4C685B1BA}"/>
            </a:ext>
            <a:ext uri="{147F2762-F138-4A5C-976F-8EAC2B608ADB}">
              <a16:predDERef xmlns:a16="http://schemas.microsoft.com/office/drawing/2014/main" pred="{470909BD-1E4A-45B7-8019-84D5E02F5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FC73C296-2BF6-486A-B509-856F9E7B9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51</xdr:row>
      <xdr:rowOff>104775</xdr:rowOff>
    </xdr:from>
    <xdr:to>
      <xdr:col>5</xdr:col>
      <xdr:colOff>914400</xdr:colOff>
      <xdr:row>74</xdr:row>
      <xdr:rowOff>133350</xdr:rowOff>
    </xdr:to>
    <xdr:graphicFrame macro="">
      <xdr:nvGraphicFramePr>
        <xdr:cNvPr id="3" name="Chart 2">
          <a:extLst>
            <a:ext uri="{FF2B5EF4-FFF2-40B4-BE49-F238E27FC236}">
              <a16:creationId xmlns:a16="http://schemas.microsoft.com/office/drawing/2014/main" id="{BCE4DC3B-9244-43CD-9DD9-694B476A86EE}"/>
            </a:ext>
            <a:ext uri="{147F2762-F138-4A5C-976F-8EAC2B608ADB}">
              <a16:predDERef xmlns:a16="http://schemas.microsoft.com/office/drawing/2014/main" pred="{FC73C296-2BF6-486A-B509-856F9E7B9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720456F9-7ABA-4BBF-B6A2-9CCD6E2B7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8E9A28B3-8A88-451D-8DA1-4CF36DC7863B}"/>
            </a:ext>
            <a:ext uri="{147F2762-F138-4A5C-976F-8EAC2B608ADB}">
              <a16:predDERef xmlns:a16="http://schemas.microsoft.com/office/drawing/2014/main" pred="{720456F9-7ABA-4BBF-B6A2-9CCD6E2B7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87DC8AB0-9BBA-4A8E-B389-64E20495D87B}"/>
            </a:ext>
            <a:ext uri="{147F2762-F138-4A5C-976F-8EAC2B608ADB}">
              <a16:predDERef xmlns:a16="http://schemas.microsoft.com/office/drawing/2014/main" pred="{8E9A28B3-8A88-451D-8DA1-4CF36DC78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1C288B37-094C-40E4-BE3C-026D1394F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3" name="Chart 2">
          <a:extLst>
            <a:ext uri="{FF2B5EF4-FFF2-40B4-BE49-F238E27FC236}">
              <a16:creationId xmlns:a16="http://schemas.microsoft.com/office/drawing/2014/main" id="{C4B86489-DE73-4772-A151-FA0873010D95}"/>
            </a:ext>
            <a:ext uri="{147F2762-F138-4A5C-976F-8EAC2B608ADB}">
              <a16:predDERef xmlns:a16="http://schemas.microsoft.com/office/drawing/2014/main" pred="{1C288B37-094C-40E4-BE3C-026D1394F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22714E33-1D50-4349-A0C8-7D4BDFB7A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3" name="Chart 2">
          <a:extLst>
            <a:ext uri="{FF2B5EF4-FFF2-40B4-BE49-F238E27FC236}">
              <a16:creationId xmlns:a16="http://schemas.microsoft.com/office/drawing/2014/main" id="{71A80A2C-55BA-478B-AD34-718C1131EEED}"/>
            </a:ext>
            <a:ext uri="{147F2762-F138-4A5C-976F-8EAC2B608ADB}">
              <a16:predDERef xmlns:a16="http://schemas.microsoft.com/office/drawing/2014/main" pred="{22714E33-1D50-4349-A0C8-7D4BDFB7A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5D4E1F75-08FF-4F03-B862-5B3866D9A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80DDA15A-6511-4D1B-9F6B-C88E8FE7BE79}"/>
            </a:ext>
            <a:ext uri="{147F2762-F138-4A5C-976F-8EAC2B608ADB}">
              <a16:predDERef xmlns:a16="http://schemas.microsoft.com/office/drawing/2014/main" pred="{5D4E1F75-08FF-4F03-B862-5B3866D9A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200025</xdr:colOff>
      <xdr:row>77</xdr:row>
      <xdr:rowOff>123825</xdr:rowOff>
    </xdr:from>
    <xdr:to>
      <xdr:col>7</xdr:col>
      <xdr:colOff>1219200</xdr:colOff>
      <xdr:row>100</xdr:row>
      <xdr:rowOff>152400</xdr:rowOff>
    </xdr:to>
    <xdr:graphicFrame macro="">
      <xdr:nvGraphicFramePr>
        <xdr:cNvPr id="5" name="Chart 2">
          <a:extLst>
            <a:ext uri="{FF2B5EF4-FFF2-40B4-BE49-F238E27FC236}">
              <a16:creationId xmlns:a16="http://schemas.microsoft.com/office/drawing/2014/main" id="{FF62105E-1BCD-4068-BF9F-0519F4813B4B}"/>
            </a:ext>
            <a:ext uri="{147F2762-F138-4A5C-976F-8EAC2B608ADB}">
              <a16:predDERef xmlns:a16="http://schemas.microsoft.com/office/drawing/2014/main" pred="{80DDA15A-6511-4D1B-9F6B-C88E8FE7B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312A641A-9D75-4F31-AEB0-3304DD117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399581E1-5998-48CE-B92E-CF2C9BDB33C4}"/>
            </a:ext>
            <a:ext uri="{147F2762-F138-4A5C-976F-8EAC2B608ADB}">
              <a16:predDERef xmlns:a16="http://schemas.microsoft.com/office/drawing/2014/main" pred="{312A641A-9D75-4F31-AEB0-3304DD117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E80F6DBC-62CC-460E-AF17-C125CC36D0E2}"/>
            </a:ext>
            <a:ext uri="{147F2762-F138-4A5C-976F-8EAC2B608ADB}">
              <a16:predDERef xmlns:a16="http://schemas.microsoft.com/office/drawing/2014/main" pred="{399581E1-5998-48CE-B92E-CF2C9BDB3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99E2A8CC-E441-49E4-92A6-89BF75EFE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51</xdr:row>
      <xdr:rowOff>104775</xdr:rowOff>
    </xdr:from>
    <xdr:to>
      <xdr:col>5</xdr:col>
      <xdr:colOff>914400</xdr:colOff>
      <xdr:row>74</xdr:row>
      <xdr:rowOff>133350</xdr:rowOff>
    </xdr:to>
    <xdr:graphicFrame macro="">
      <xdr:nvGraphicFramePr>
        <xdr:cNvPr id="3" name="Chart 2">
          <a:extLst>
            <a:ext uri="{FF2B5EF4-FFF2-40B4-BE49-F238E27FC236}">
              <a16:creationId xmlns:a16="http://schemas.microsoft.com/office/drawing/2014/main" id="{70E06BB7-E355-4458-AE2A-2840897118E2}"/>
            </a:ext>
            <a:ext uri="{147F2762-F138-4A5C-976F-8EAC2B608ADB}">
              <a16:predDERef xmlns:a16="http://schemas.microsoft.com/office/drawing/2014/main" pred="{99E2A8CC-E441-49E4-92A6-89BF75EFE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18433" name="Chart 1">
          <a:extLst>
            <a:ext uri="{FF2B5EF4-FFF2-40B4-BE49-F238E27FC236}">
              <a16:creationId xmlns:a16="http://schemas.microsoft.com/office/drawing/2014/main" id="{00000000-0008-0000-0300-000001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4" name="Chart 1">
          <a:extLst>
            <a:ext uri="{FF2B5EF4-FFF2-40B4-BE49-F238E27FC236}">
              <a16:creationId xmlns:a16="http://schemas.microsoft.com/office/drawing/2014/main" id="{00000000-0008-0000-0300-000004000000}"/>
            </a:ext>
            <a:ext uri="{147F2762-F138-4A5C-976F-8EAC2B608ADB}">
              <a16:predDERef xmlns:a16="http://schemas.microsoft.com/office/drawing/2014/main" pred="{00000000-0008-0000-0300-000001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7" name="Chart 2">
          <a:extLst>
            <a:ext uri="{FF2B5EF4-FFF2-40B4-BE49-F238E27FC236}">
              <a16:creationId xmlns:a16="http://schemas.microsoft.com/office/drawing/2014/main" id="{00000000-0008-0000-0300-000007000000}"/>
            </a:ext>
            <a:ext uri="{147F2762-F138-4A5C-976F-8EAC2B608ADB}">
              <a16:predDERef xmlns:a16="http://schemas.microsoft.com/office/drawing/2014/main" pre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8" name="Chart 2">
          <a:extLst>
            <a:ext uri="{FF2B5EF4-FFF2-40B4-BE49-F238E27FC236}">
              <a16:creationId xmlns:a16="http://schemas.microsoft.com/office/drawing/2014/main" id="{00000000-0008-0000-0200-000008000000}"/>
            </a:ext>
            <a:ext uri="{147F2762-F138-4A5C-976F-8EAC2B608ADB}">
              <a16:predDERef xmlns:a16="http://schemas.microsoft.com/office/drawing/2014/main"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11758ADD-7580-455C-B996-E9FCFE11B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9B673527-697F-446C-BB2B-9BF12C2302ED}"/>
            </a:ext>
            <a:ext uri="{147F2762-F138-4A5C-976F-8EAC2B608ADB}">
              <a16:predDERef xmlns:a16="http://schemas.microsoft.com/office/drawing/2014/main" pred="{11758ADD-7580-455C-B996-E9FCFE11B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5" name="Chart 2">
          <a:extLst>
            <a:ext uri="{FF2B5EF4-FFF2-40B4-BE49-F238E27FC236}">
              <a16:creationId xmlns:a16="http://schemas.microsoft.com/office/drawing/2014/main" id="{61423341-BA79-43BA-B299-1B6C921CCC84}"/>
            </a:ext>
            <a:ext uri="{147F2762-F138-4A5C-976F-8EAC2B608ADB}">
              <a16:predDERef xmlns:a16="http://schemas.microsoft.com/office/drawing/2014/main" pred="{9B673527-697F-446C-BB2B-9BF12C230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045AE407-1740-4887-9F96-31A76D9FF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194063E9-2B13-482F-9414-83A026F6050E}"/>
            </a:ext>
            <a:ext uri="{147F2762-F138-4A5C-976F-8EAC2B608ADB}">
              <a16:predDERef xmlns:a16="http://schemas.microsoft.com/office/drawing/2014/main" pred="{045AE407-1740-4887-9F96-31A76D9FF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7DE39CBE-D1D5-4A08-9CAA-EFB9DE28825E}"/>
            </a:ext>
            <a:ext uri="{147F2762-F138-4A5C-976F-8EAC2B608ADB}">
              <a16:predDERef xmlns:a16="http://schemas.microsoft.com/office/drawing/2014/main" pred="{194063E9-2B13-482F-9414-83A026F60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4996278F-68DD-48C9-82DF-9E7BFED19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7D0BB561-866B-48BD-8F3E-3F808FE84718}"/>
            </a:ext>
            <a:ext uri="{147F2762-F138-4A5C-976F-8EAC2B608ADB}">
              <a16:predDERef xmlns:a16="http://schemas.microsoft.com/office/drawing/2014/main" pred="{4996278F-68DD-48C9-82DF-9E7BFED19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F2ECE6C6-A150-42FE-8598-83F58D46A12C}"/>
            </a:ext>
            <a:ext uri="{147F2762-F138-4A5C-976F-8EAC2B608ADB}">
              <a16:predDERef xmlns:a16="http://schemas.microsoft.com/office/drawing/2014/main" pred="{7D0BB561-866B-48BD-8F3E-3F808FE84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CDDFAA37-F4A8-4D3E-A2A1-321DED0C4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18700154-5F6B-4186-AC1C-F949AC5BD920}"/>
            </a:ext>
            <a:ext uri="{147F2762-F138-4A5C-976F-8EAC2B608ADB}">
              <a16:predDERef xmlns:a16="http://schemas.microsoft.com/office/drawing/2014/main" pred="{CDDFAA37-F4A8-4D3E-A2A1-321DED0C4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B55AE78A-8498-4BBB-94A0-295CF27437EC}"/>
            </a:ext>
            <a:ext uri="{147F2762-F138-4A5C-976F-8EAC2B608ADB}">
              <a16:predDERef xmlns:a16="http://schemas.microsoft.com/office/drawing/2014/main" pred="{18700154-5F6B-4186-AC1C-F949AC5BD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3FE8C5D9-DF95-4F61-8960-830E8485B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AF84B393-7D8D-405C-A391-760AFEB46B8D}"/>
            </a:ext>
            <a:ext uri="{147F2762-F138-4A5C-976F-8EAC2B608ADB}">
              <a16:predDERef xmlns:a16="http://schemas.microsoft.com/office/drawing/2014/main" pred="{3FE8C5D9-DF95-4F61-8960-830E8485B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DF033922-8B1A-4996-80D7-B7B808F0576D}"/>
            </a:ext>
            <a:ext uri="{147F2762-F138-4A5C-976F-8EAC2B608ADB}">
              <a16:predDERef xmlns:a16="http://schemas.microsoft.com/office/drawing/2014/main" pred="{AF84B393-7D8D-405C-A391-760AFEB46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FF6ED40D-1BFC-408D-98DC-641831D91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EE44F9E8-DD45-4915-B6E3-DE7945DC4AD8}"/>
            </a:ext>
            <a:ext uri="{147F2762-F138-4A5C-976F-8EAC2B608ADB}">
              <a16:predDERef xmlns:a16="http://schemas.microsoft.com/office/drawing/2014/main" pred="{FF6ED40D-1BFC-408D-98DC-641831D91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93ADE4F9-946D-472B-B02D-9DA3A6C7B1A7}"/>
            </a:ext>
            <a:ext uri="{147F2762-F138-4A5C-976F-8EAC2B608ADB}">
              <a16:predDERef xmlns:a16="http://schemas.microsoft.com/office/drawing/2014/main" pred="{EE44F9E8-DD45-4915-B6E3-DE7945DC4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F98E8C6E-F94E-4B7F-9423-016D55455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7F6E0E53-7E4C-417C-B649-BD436A343399}"/>
            </a:ext>
            <a:ext uri="{147F2762-F138-4A5C-976F-8EAC2B608ADB}">
              <a16:predDERef xmlns:a16="http://schemas.microsoft.com/office/drawing/2014/main" pred="{F98E8C6E-F94E-4B7F-9423-016D55455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563E2801-05EF-4E5F-B854-D9928026938A}"/>
            </a:ext>
            <a:ext uri="{147F2762-F138-4A5C-976F-8EAC2B608ADB}">
              <a16:predDERef xmlns:a16="http://schemas.microsoft.com/office/drawing/2014/main" pred="{7F6E0E53-7E4C-417C-B649-BD436A343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7</xdr:col>
      <xdr:colOff>0</xdr:colOff>
      <xdr:row>25</xdr:row>
      <xdr:rowOff>19050</xdr:rowOff>
    </xdr:from>
    <xdr:to>
      <xdr:col>7</xdr:col>
      <xdr:colOff>0</xdr:colOff>
      <xdr:row>50</xdr:row>
      <xdr:rowOff>114300</xdr:rowOff>
    </xdr:to>
    <xdr:graphicFrame macro="">
      <xdr:nvGraphicFramePr>
        <xdr:cNvPr id="2" name="Chart 1">
          <a:extLst>
            <a:ext uri="{FF2B5EF4-FFF2-40B4-BE49-F238E27FC236}">
              <a16:creationId xmlns:a16="http://schemas.microsoft.com/office/drawing/2014/main" id="{D26C87FC-DADA-45E8-B3F4-4DB5B5B1E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19050</xdr:rowOff>
    </xdr:from>
    <xdr:to>
      <xdr:col>7</xdr:col>
      <xdr:colOff>0</xdr:colOff>
      <xdr:row>50</xdr:row>
      <xdr:rowOff>114300</xdr:rowOff>
    </xdr:to>
    <xdr:graphicFrame macro="">
      <xdr:nvGraphicFramePr>
        <xdr:cNvPr id="3" name="Chart 1">
          <a:extLst>
            <a:ext uri="{FF2B5EF4-FFF2-40B4-BE49-F238E27FC236}">
              <a16:creationId xmlns:a16="http://schemas.microsoft.com/office/drawing/2014/main" id="{484E180D-7D78-42FB-8724-84B7469DDDB6}"/>
            </a:ext>
            <a:ext uri="{147F2762-F138-4A5C-976F-8EAC2B608ADB}">
              <a16:predDERef xmlns:a16="http://schemas.microsoft.com/office/drawing/2014/main" pred="{D26C87FC-DADA-45E8-B3F4-4DB5B5B1E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5</xdr:col>
      <xdr:colOff>828675</xdr:colOff>
      <xdr:row>56</xdr:row>
      <xdr:rowOff>28575</xdr:rowOff>
    </xdr:to>
    <xdr:graphicFrame macro="">
      <xdr:nvGraphicFramePr>
        <xdr:cNvPr id="4" name="Chart 2">
          <a:extLst>
            <a:ext uri="{FF2B5EF4-FFF2-40B4-BE49-F238E27FC236}">
              <a16:creationId xmlns:a16="http://schemas.microsoft.com/office/drawing/2014/main" id="{C820CD56-305A-4017-A535-515F2BAF80A2}"/>
            </a:ext>
            <a:ext uri="{147F2762-F138-4A5C-976F-8EAC2B608ADB}">
              <a16:predDERef xmlns:a16="http://schemas.microsoft.com/office/drawing/2014/main" pred="{484E180D-7D78-42FB-8724-84B7469DD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1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3"/>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Calidad Bs. As. Norte" id="{D87C0D60-419F-4685-A591-2516B4EFFFA2}" userId="S::calidad.bsasnorte@maximia.com.ar::b7874aa1-1ef3-4ffc-960b-7c37e859023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C213F-2758-462E-B4D5-52AFBE027322}" name="Tabla1" displayName="Tabla1" ref="B2:F104" totalsRowCount="1" headerRowDxfId="156" dataDxfId="155" headerRowBorderDxfId="153" tableBorderDxfId="154" totalsRowBorderDxfId="152">
  <autoFilter ref="B2:F103" xr:uid="{40DC213F-2758-462E-B4D5-52AFBE027322}"/>
  <tableColumns count="5">
    <tableColumn id="1" xr3:uid="{B676AF5E-E7C6-4942-825A-9740F5753EDC}" name="Operación" totalsRowLabel="Total" dataDxfId="150" totalsRowDxfId="151"/>
    <tableColumn id="2" xr3:uid="{0FC9999B-69EC-4416-9089-03614391A872}" name="Mes" dataDxfId="148" totalsRowDxfId="149"/>
    <tableColumn id="3" xr3:uid="{196D5029-7862-469C-8D9D-D2B94AAD2901}" name="Año" dataDxfId="146" totalsRowDxfId="147"/>
    <tableColumn id="4" xr3:uid="{12E5E617-8060-401A-963E-3B2113BB8FBD}" name="Accidentes" totalsRowFunction="custom" dataDxfId="144" totalsRowDxfId="145">
      <totalsRowFormula>SUBTOTAL(109,E3:E103)</totalsRowFormula>
    </tableColumn>
    <tableColumn id="5" xr3:uid="{DF024CC0-4112-4579-8DD0-925BB631C5C9}" name="Cada cuantos dias _x000a_se espera un evento" dataDxfId="142" totalsRowDxfId="14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F7DFDF-438C-46E2-A2B2-D2BB1EBDB838}" name="Tabla2" displayName="Tabla2" ref="A2:T23" totalsRowCount="1" headerRowDxfId="140" dataDxfId="139" headerRowBorderDxfId="137" tableBorderDxfId="138" totalsRowBorderDxfId="136">
  <autoFilter ref="A2:T22" xr:uid="{71F7DFDF-438C-46E2-A2B2-D2BB1EBDB838}"/>
  <sortState xmlns:xlrd2="http://schemas.microsoft.com/office/spreadsheetml/2017/richdata2" ref="A3:T16">
    <sortCondition ref="C2:C16"/>
  </sortState>
  <tableColumns count="20">
    <tableColumn id="1" xr3:uid="{E4383CBC-7756-4EFF-B382-0F70CF1FD18F}" name="Apellido y Nombre" totalsRowLabel="Total" dataDxfId="134" totalsRowDxfId="135"/>
    <tableColumn id="2" xr3:uid="{16905940-6B16-464F-BDB4-4F6428C7ED54}" name="operacion " dataDxfId="132" totalsRowDxfId="133"/>
    <tableColumn id="3" xr3:uid="{4CA8ABD2-A4A5-46FC-B726-FB9145CE1BC9}" name="Accidente" totalsRowFunction="custom" dataDxfId="130" totalsRowDxfId="131">
      <totalsRowFormula>SUBTOTAL(103,C3:C22)</totalsRowFormula>
    </tableColumn>
    <tableColumn id="4" xr3:uid="{4987DFB5-2522-44B6-883B-6A8ED1B3EA16}" name="Fin ILT" dataDxfId="128" totalsRowDxfId="129"/>
    <tableColumn id="5" xr3:uid="{36555A6B-ADF2-49BE-BD70-71D5E9CCA4BB}" name="Dias Acc" dataDxfId="126" totalsRowDxfId="127"/>
    <tableColumn id="6" xr3:uid="{6420B834-5040-48E4-88B1-DCBCCDAC93B8}" name="Tipo de accidente" dataDxfId="124" totalsRowDxfId="125"/>
    <tableColumn id="7" xr3:uid="{AF95FE98-6D38-4774-A15F-E3B301DE868D}" name="Informe de ART" dataDxfId="122" totalsRowDxfId="123" dataCellStyle="Hyperlink"/>
    <tableColumn id="8" xr3:uid="{4811FA24-C4AB-44C6-B2AB-5845B53B012D}" name="Cumputa?" dataDxfId="120" totalsRowDxfId="121"/>
    <tableColumn id="9" xr3:uid="{B5B2B01D-74C1-4E36-9F7F-7A85134B4AB3}" name="ene-24" totalsRowFunction="custom" dataDxfId="118" totalsRowDxfId="119">
      <totalsRowFormula>SUBTOTAL(103,I3:I22)</totalsRowFormula>
    </tableColumn>
    <tableColumn id="10" xr3:uid="{33987561-10CD-4958-9D64-FE8B0B7D3891}" name="feb-24" totalsRowFunction="custom" dataDxfId="116" totalsRowDxfId="117">
      <totalsRowFormula>SUBTOTAL(103,J3:J22)</totalsRowFormula>
    </tableColumn>
    <tableColumn id="11" xr3:uid="{C2B0E69E-92BB-4C87-9793-46F57ED3C1CF}" name="mar-24" totalsRowFunction="custom" dataDxfId="114" totalsRowDxfId="115">
      <totalsRowFormula>SUBTOTAL(103,K3:K22)</totalsRowFormula>
    </tableColumn>
    <tableColumn id="12" xr3:uid="{69933B75-EB4B-4F13-98AF-14CC8F84443B}" name="abr-24" totalsRowFunction="custom" dataDxfId="112" totalsRowDxfId="113">
      <totalsRowFormula>SUBTOTAL(103,L3:L22)</totalsRowFormula>
    </tableColumn>
    <tableColumn id="13" xr3:uid="{11F4BF73-A328-48CD-9A2A-F8BBBC4718D2}" name="may-24" totalsRowFunction="custom" dataDxfId="110" totalsRowDxfId="111">
      <totalsRowFormula>SUBTOTAL(103,M3:M22)</totalsRowFormula>
    </tableColumn>
    <tableColumn id="14" xr3:uid="{AA684D10-06ED-43EA-B4D6-802F6C169667}" name="jun-24" totalsRowFunction="custom" dataDxfId="108" totalsRowDxfId="109">
      <totalsRowFormula>SUBTOTAL(103,N3:N22)</totalsRowFormula>
    </tableColumn>
    <tableColumn id="15" xr3:uid="{D26780F4-1BFE-4D23-AD7C-EB424BE02216}" name="jul-24" totalsRowFunction="custom" dataDxfId="106" totalsRowDxfId="107">
      <totalsRowFormula>SUBTOTAL(103,O3:O22)</totalsRowFormula>
    </tableColumn>
    <tableColumn id="16" xr3:uid="{B8C90CE7-B6A6-458B-BB0E-49E261AF48DC}" name="ago-24" totalsRowFunction="custom" dataDxfId="104" totalsRowDxfId="105">
      <totalsRowFormula>SUBTOTAL(103,P3:P22)</totalsRowFormula>
    </tableColumn>
    <tableColumn id="17" xr3:uid="{81F9C4C0-3CB3-41C2-96CF-E3F9D3204AA0}" name="sep-24" totalsRowFunction="custom" dataDxfId="102" totalsRowDxfId="103">
      <totalsRowFormula>SUBTOTAL(103,Q3:Q22)</totalsRowFormula>
    </tableColumn>
    <tableColumn id="18" xr3:uid="{D50F862B-4EEC-4134-BDDB-524A803334C5}" name="oct-24" totalsRowFunction="custom" dataDxfId="100" totalsRowDxfId="101">
      <totalsRowFormula>SUBTOTAL(103,R3:R22)</totalsRowFormula>
    </tableColumn>
    <tableColumn id="19" xr3:uid="{D15C11C0-7237-4C0E-94B4-8BF792C0F53D}" name="nov-24" totalsRowFunction="custom" dataDxfId="98" totalsRowDxfId="99">
      <totalsRowFormula>SUBTOTAL(103,S3:S22)</totalsRowFormula>
    </tableColumn>
    <tableColumn id="20" xr3:uid="{02E7E0B9-723F-40BA-9866-37651E3D2212}" name="dic-24" totalsRowFunction="custom" dataDxfId="96" totalsRowDxfId="97">
      <totalsRowFormula>SUBTOTAL(103,T3:T22)</totalsRow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C692FA-51EC-41E6-B4FA-0446338289A9}" name="Tabla24" displayName="Tabla24" ref="A2:U23" totalsRowCount="1" headerRowDxfId="94" dataDxfId="93" headerRowBorderDxfId="91" tableBorderDxfId="92" totalsRowBorderDxfId="90">
  <autoFilter ref="A2:U22" xr:uid="{71F7DFDF-438C-46E2-A2B2-D2BB1EBDB838}">
    <filterColumn colId="2">
      <filters blank="1">
        <dateGroupItem year="2025" month="8" dateTimeGrouping="month"/>
      </filters>
    </filterColumn>
  </autoFilter>
  <sortState xmlns:xlrd2="http://schemas.microsoft.com/office/spreadsheetml/2017/richdata2" ref="A3:U16">
    <sortCondition ref="C2:C16"/>
  </sortState>
  <tableColumns count="21">
    <tableColumn id="1" xr3:uid="{C83D6BAF-9AA9-4622-8BB9-8A5515093E96}" name="Apellido y Nombre" totalsRowLabel="Total" dataDxfId="88" totalsRowDxfId="89"/>
    <tableColumn id="2" xr3:uid="{0729DA2C-7D78-4E0C-B713-68D5804A79BB}" name="operacion " dataDxfId="86" totalsRowDxfId="87"/>
    <tableColumn id="3" xr3:uid="{883D4815-4331-43A3-BC72-E74AA4035687}" name="Accidente" totalsRowFunction="custom" dataDxfId="84" totalsRowDxfId="85">
      <totalsRowFormula>SUBTOTAL(103,C4:C22)</totalsRowFormula>
    </tableColumn>
    <tableColumn id="4" xr3:uid="{4D6226C2-0D41-4CB5-9FF7-DF1C8C837983}" name="Fin ILT" dataDxfId="82" totalsRowDxfId="83"/>
    <tableColumn id="5" xr3:uid="{5DAB0547-10F7-47EB-BC83-124B757D0F41}" name="Dias Acc" dataDxfId="80" totalsRowDxfId="81"/>
    <tableColumn id="6" xr3:uid="{496298AF-46A0-4C16-8AA1-01734F49B09C}" name="Tipo de accidente" dataDxfId="78" totalsRowDxfId="79"/>
    <tableColumn id="7" xr3:uid="{3143ECA2-9CAE-42FE-A0D9-3A247D6A6B74}" name="Informe de ART" dataDxfId="76" totalsRowDxfId="77" dataCellStyle="Hyperlink"/>
    <tableColumn id="21" xr3:uid="{60108CC9-4CBC-4AE7-840E-94CFD1AB5035}" name="Inoforme Maximia " dataDxfId="74" totalsRowDxfId="75" dataCellStyle="Hyperlink"/>
    <tableColumn id="8" xr3:uid="{2E728B56-81A6-452E-88CF-D44B34E38C29}" name="Cumputa?" dataDxfId="72" totalsRowDxfId="73"/>
    <tableColumn id="9" xr3:uid="{55115A69-13A8-4829-AF0D-B88355E37692}" name="ene-25" totalsRowFunction="custom" dataDxfId="70" totalsRowDxfId="71">
      <totalsRowFormula>SUBTOTAL(103,J3:J22)</totalsRowFormula>
    </tableColumn>
    <tableColumn id="10" xr3:uid="{94CCE410-31E4-43D4-8749-B344C38AA809}" name="feb-25" totalsRowFunction="custom" dataDxfId="68" totalsRowDxfId="69">
      <totalsRowFormula>SUBTOTAL(103,K3:K22)</totalsRowFormula>
    </tableColumn>
    <tableColumn id="11" xr3:uid="{8E98097D-F54F-4F31-B166-C0FCA5CE7FCE}" name="mar-25" totalsRowFunction="custom" dataDxfId="66" totalsRowDxfId="67">
      <totalsRowFormula>SUBTOTAL(103,L3:L22)</totalsRowFormula>
    </tableColumn>
    <tableColumn id="12" xr3:uid="{90B82C04-83A1-4E2E-88BE-7224FE51E737}" name="abr-25" totalsRowFunction="custom" dataDxfId="64" totalsRowDxfId="65">
      <totalsRowFormula>SUBTOTAL(103,M4:M22)</totalsRowFormula>
    </tableColumn>
    <tableColumn id="13" xr3:uid="{BF5F4AF2-F6D7-4CA6-AF00-E6E2973AD266}" name="may-25" totalsRowFunction="custom" dataDxfId="62" totalsRowDxfId="63">
      <totalsRowFormula>SUBTOTAL(103,N4:N22)</totalsRowFormula>
    </tableColumn>
    <tableColumn id="14" xr3:uid="{79195BB9-165D-483B-B08E-DC4C2F99C6D4}" name="jun-25" totalsRowFunction="custom" dataDxfId="60" totalsRowDxfId="61">
      <totalsRowFormula>SUBTOTAL(103,O3:O22)</totalsRowFormula>
    </tableColumn>
    <tableColumn id="15" xr3:uid="{87E039D3-48CB-435A-B6BA-428B73F0C3EA}" name="jul-25" totalsRowFunction="custom" dataDxfId="58" totalsRowDxfId="59">
      <totalsRowFormula>SUBTOTAL(103,P3:P22)</totalsRowFormula>
    </tableColumn>
    <tableColumn id="16" xr3:uid="{B6618D87-5443-4A48-B1D1-6C5E9C9B960B}" name="ago-25" totalsRowFunction="custom" dataDxfId="56" totalsRowDxfId="57">
      <totalsRowFormula>SUBTOTAL(103,Q3:Q22)</totalsRowFormula>
    </tableColumn>
    <tableColumn id="17" xr3:uid="{B2A64D69-495C-499A-8FF1-6C6411D681BE}" name="sep-25" totalsRowFunction="custom" dataDxfId="54" totalsRowDxfId="55">
      <totalsRowFormula>SUBTOTAL(103,R3:R22)</totalsRowFormula>
    </tableColumn>
    <tableColumn id="18" xr3:uid="{D6630717-F61E-4A6C-957C-5E5AAA86B311}" name="oct-25" totalsRowFunction="custom" dataDxfId="52" totalsRowDxfId="53">
      <totalsRowFormula>SUBTOTAL(103,S3:S22)</totalsRowFormula>
    </tableColumn>
    <tableColumn id="19" xr3:uid="{D29F3F1D-C673-4B8F-8350-77D176B152F1}" name="nov-25" totalsRowFunction="custom" dataDxfId="50" totalsRowDxfId="51">
      <totalsRowFormula>SUBTOTAL(103,T3:T22)</totalsRowFormula>
    </tableColumn>
    <tableColumn id="20" xr3:uid="{0CF3B840-09B8-4F21-A313-788096763893}" name="dic-25" totalsRowFunction="custom" dataDxfId="48" totalsRowDxfId="49">
      <totalsRowFormula>SUBTOTAL(103,U3:U22)</totalsRow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A595EF-D026-4D81-BEA5-CE4E1F825805}" name="Tabla245" displayName="Tabla245" ref="A2:U23" totalsRowCount="1" headerRowDxfId="46" dataDxfId="45" headerRowBorderDxfId="43" tableBorderDxfId="44" totalsRowBorderDxfId="42">
  <autoFilter ref="A2:U22" xr:uid="{71F7DFDF-438C-46E2-A2B2-D2BB1EBDB838}">
    <filterColumn colId="2">
      <filters blank="1">
        <dateGroupItem year="2025" month="8" dateTimeGrouping="month"/>
      </filters>
    </filterColumn>
  </autoFilter>
  <sortState xmlns:xlrd2="http://schemas.microsoft.com/office/spreadsheetml/2017/richdata2" ref="A3:U16">
    <sortCondition ref="C2:C16"/>
  </sortState>
  <tableColumns count="21">
    <tableColumn id="1" xr3:uid="{C5272449-A168-42BB-B7E4-8D383C5CD6D1}" name="Apellido y Nombre" totalsRowLabel="Total" dataDxfId="40" totalsRowDxfId="41"/>
    <tableColumn id="2" xr3:uid="{5B7CE36B-03F4-440C-AD1A-029BDC986B23}" name="operacion " dataDxfId="38" totalsRowDxfId="39"/>
    <tableColumn id="3" xr3:uid="{D554FAD4-28D6-4CD8-86EA-FBAEBE952B4F}" name="Accidente" totalsRowFunction="custom" dataDxfId="36" totalsRowDxfId="37">
      <totalsRowFormula>SUBTOTAL(103,C4:C22)</totalsRowFormula>
    </tableColumn>
    <tableColumn id="4" xr3:uid="{589736E7-214A-41E7-B547-8EE2BD9EE8A2}" name="Fin ILT" dataDxfId="34" totalsRowDxfId="35"/>
    <tableColumn id="5" xr3:uid="{9FD7E8BB-984A-4BA0-9AF6-07BAC05DD08B}" name="Dias Acc" dataDxfId="32" totalsRowDxfId="33"/>
    <tableColumn id="6" xr3:uid="{50DF4065-8CF4-4657-AB9A-2D2C0F83C924}" name="Tipo de accidente" dataDxfId="30" totalsRowDxfId="31"/>
    <tableColumn id="7" xr3:uid="{FC9B4221-6963-480E-836D-4BE814F9A04D}" name="Informe de ART" dataDxfId="28" totalsRowDxfId="29" dataCellStyle="Hyperlink"/>
    <tableColumn id="21" xr3:uid="{52846214-380A-4358-AC87-F4B751754CC8}" name="Inoforme Maximia " dataDxfId="26" totalsRowDxfId="27" dataCellStyle="Hyperlink"/>
    <tableColumn id="8" xr3:uid="{4384C5C4-BBB8-4010-ADE8-10F419E5BF34}" name="Cumputa?" dataDxfId="24" totalsRowDxfId="25"/>
    <tableColumn id="9" xr3:uid="{FFAEBA3A-9C37-4B23-8AB5-D0E7BFFAEA66}" name="ene-25" totalsRowFunction="custom" dataDxfId="22" totalsRowDxfId="23">
      <totalsRowFormula>SUBTOTAL(103,J3:J22)</totalsRowFormula>
    </tableColumn>
    <tableColumn id="10" xr3:uid="{E720370E-475E-4393-A448-B1880ED21713}" name="feb-25" totalsRowFunction="custom" dataDxfId="20" totalsRowDxfId="21">
      <totalsRowFormula>SUBTOTAL(103,K3:K22)</totalsRowFormula>
    </tableColumn>
    <tableColumn id="11" xr3:uid="{61CAA44B-D053-4794-A701-FD29DE236AA7}" name="mar-25" totalsRowFunction="custom" dataDxfId="18" totalsRowDxfId="19">
      <totalsRowFormula>SUBTOTAL(103,L3:L22)</totalsRowFormula>
    </tableColumn>
    <tableColumn id="12" xr3:uid="{4AE0D3D5-D8C3-4680-A3D6-1B4E56779E26}" name="abr-25" totalsRowFunction="custom" dataDxfId="16" totalsRowDxfId="17">
      <totalsRowFormula>SUBTOTAL(103,M4:M22)</totalsRowFormula>
    </tableColumn>
    <tableColumn id="13" xr3:uid="{79251B69-B10E-4F39-9C90-BCB2322A1CA6}" name="may-25" totalsRowFunction="custom" dataDxfId="14" totalsRowDxfId="15">
      <totalsRowFormula>SUBTOTAL(103,N4:N22)</totalsRowFormula>
    </tableColumn>
    <tableColumn id="14" xr3:uid="{5208BC34-E83F-4B23-9C2C-F13D283DB1AF}" name="jun-25" totalsRowFunction="custom" dataDxfId="12" totalsRowDxfId="13">
      <totalsRowFormula>SUBTOTAL(103,O3:O22)</totalsRowFormula>
    </tableColumn>
    <tableColumn id="15" xr3:uid="{254DB168-8FAC-4BB7-ACA5-2AA9C98BFFE4}" name="jul-25" totalsRowFunction="custom" dataDxfId="10" totalsRowDxfId="11">
      <totalsRowFormula>SUBTOTAL(103,P3:P22)</totalsRowFormula>
    </tableColumn>
    <tableColumn id="16" xr3:uid="{7C7BBDC4-630D-4478-BE2B-CDB231F7BFDC}" name="ago-25" totalsRowFunction="custom" dataDxfId="8" totalsRowDxfId="9">
      <totalsRowFormula>SUBTOTAL(103,Q3:Q22)</totalsRowFormula>
    </tableColumn>
    <tableColumn id="17" xr3:uid="{1A82D37E-8956-4EAF-B1E8-AAACEB55DA43}" name="sep-25" totalsRowFunction="custom" dataDxfId="6" totalsRowDxfId="7">
      <totalsRowFormula>SUBTOTAL(103,R3:R22)</totalsRowFormula>
    </tableColumn>
    <tableColumn id="18" xr3:uid="{50BDEE70-9D7A-46E5-AC9A-2BE80C732ED2}" name="oct-25" totalsRowFunction="custom" dataDxfId="4" totalsRowDxfId="5">
      <totalsRowFormula>SUBTOTAL(103,S3:S22)</totalsRowFormula>
    </tableColumn>
    <tableColumn id="19" xr3:uid="{3416DAEE-DD8C-4222-886E-0ED541083A62}" name="nov-25" totalsRowFunction="custom" dataDxfId="2" totalsRowDxfId="3">
      <totalsRowFormula>SUBTOTAL(103,T3:T22)</totalsRowFormula>
    </tableColumn>
    <tableColumn id="20" xr3:uid="{4643B506-8C72-4D57-97BE-2C68661CB426}" name="dic-25" totalsRowFunction="custom" dataDxfId="0" totalsRowDxfId="1">
      <totalsRowFormula>SUBTOTAL(103,U3:U22)</totalsRow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7" dT="2023-10-31T13:57:13.37" personId="{D87C0D60-419F-4685-A591-2516B4EFFFA2}" id="{F60F844C-B868-4D7B-888D-869D373AC53D}">
    <text>se habre caso de quintana dos dias</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provinciart.com.ar/siniestro/3570566" TargetMode="External"/><Relationship Id="rId13" Type="http://schemas.openxmlformats.org/officeDocument/2006/relationships/hyperlink" Target="https://www.provinciart.com.ar/siniestro/3638468" TargetMode="External"/><Relationship Id="rId18" Type="http://schemas.openxmlformats.org/officeDocument/2006/relationships/table" Target="../tables/table2.xml"/><Relationship Id="rId3" Type="http://schemas.openxmlformats.org/officeDocument/2006/relationships/hyperlink" Target="https://www.provinciart.com.ar/siniestro/3529843" TargetMode="External"/><Relationship Id="rId7" Type="http://schemas.openxmlformats.org/officeDocument/2006/relationships/hyperlink" Target="https://www.provinciart.com.ar/siniestro/3554851" TargetMode="External"/><Relationship Id="rId12" Type="http://schemas.openxmlformats.org/officeDocument/2006/relationships/hyperlink" Target="https://www.provinciart.com.ar/siniestro/3634323" TargetMode="External"/><Relationship Id="rId17" Type="http://schemas.openxmlformats.org/officeDocument/2006/relationships/hyperlink" Target="https://www.provinciart.com.ar/siniestro/3722177" TargetMode="External"/><Relationship Id="rId2" Type="http://schemas.openxmlformats.org/officeDocument/2006/relationships/hyperlink" Target="https://www.provinciart.com.ar/siniestro/3533418" TargetMode="External"/><Relationship Id="rId16" Type="http://schemas.openxmlformats.org/officeDocument/2006/relationships/hyperlink" Target="https://www.provinciart.com.ar/siniestro/3648921" TargetMode="External"/><Relationship Id="rId1" Type="http://schemas.openxmlformats.org/officeDocument/2006/relationships/hyperlink" Target="https://www.provinciart.com.ar/siniestro/3562810" TargetMode="External"/><Relationship Id="rId6" Type="http://schemas.openxmlformats.org/officeDocument/2006/relationships/hyperlink" Target="https://www.provinciart.com.ar/siniestro/3552251" TargetMode="External"/><Relationship Id="rId11" Type="http://schemas.openxmlformats.org/officeDocument/2006/relationships/hyperlink" Target="https://www.provinciart.com.ar/siniestro/3634336" TargetMode="External"/><Relationship Id="rId5" Type="http://schemas.openxmlformats.org/officeDocument/2006/relationships/hyperlink" Target="https://www.provinciart.com.ar/siniestro/3540695" TargetMode="External"/><Relationship Id="rId15" Type="http://schemas.openxmlformats.org/officeDocument/2006/relationships/hyperlink" Target="https://www.provinciart.com.ar/siniestro/3651940" TargetMode="External"/><Relationship Id="rId10" Type="http://schemas.openxmlformats.org/officeDocument/2006/relationships/hyperlink" Target="https://www.provinciart.com.ar/siniestro/3579329" TargetMode="External"/><Relationship Id="rId4" Type="http://schemas.openxmlformats.org/officeDocument/2006/relationships/hyperlink" Target="https://www.provinciart.com.ar/siniestro/3542418" TargetMode="External"/><Relationship Id="rId9" Type="http://schemas.openxmlformats.org/officeDocument/2006/relationships/hyperlink" Target="https://www.provinciart.com.ar/siniestro/3572740" TargetMode="External"/><Relationship Id="rId14" Type="http://schemas.openxmlformats.org/officeDocument/2006/relationships/hyperlink" Target="https://www.provinciart.com.ar/siniestro/364498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provinciart.com.ar/siniestro/3866177" TargetMode="External"/><Relationship Id="rId13" Type="http://schemas.openxmlformats.org/officeDocument/2006/relationships/hyperlink" Target="https://www.provinciart.com.ar/siniestro/3962384" TargetMode="External"/><Relationship Id="rId3" Type="http://schemas.openxmlformats.org/officeDocument/2006/relationships/hyperlink" Target="https://www.provinciart.com.ar/siniestro/3783036" TargetMode="External"/><Relationship Id="rId7" Type="http://schemas.openxmlformats.org/officeDocument/2006/relationships/hyperlink" Target="https://www.provinciart.com.ar/siniestro/3871826" TargetMode="External"/><Relationship Id="rId12" Type="http://schemas.openxmlformats.org/officeDocument/2006/relationships/hyperlink" Target="https://www.provinciart.com.ar/siniestro/3948922" TargetMode="External"/><Relationship Id="rId2" Type="http://schemas.openxmlformats.org/officeDocument/2006/relationships/hyperlink" Target="https://www.provinciart.com.ar/siniestro/3798551" TargetMode="External"/><Relationship Id="rId1" Type="http://schemas.openxmlformats.org/officeDocument/2006/relationships/hyperlink" Target="https://www.provinciart.com.ar/siniestro/3795763" TargetMode="External"/><Relationship Id="rId6" Type="http://schemas.openxmlformats.org/officeDocument/2006/relationships/hyperlink" Target="https://www.provinciart.com.ar/siniestro/3863138" TargetMode="External"/><Relationship Id="rId11" Type="http://schemas.openxmlformats.org/officeDocument/2006/relationships/hyperlink" Target="https://www.provinciart.com.ar/siniestro/3952873" TargetMode="External"/><Relationship Id="rId5" Type="http://schemas.openxmlformats.org/officeDocument/2006/relationships/hyperlink" Target="https://maximiasams.sharepoint.com/sites/SGC/Documentos%20compartidos/Forms/AllItems.aspx?id=%2Fsites%2FSGC%2FDocumentos%20compartidos%2F08%20-%20Operaciones%2F03%20-%20Control%20de%20Calidad%2FRegistros%2FHyS%2FCOCINAS%2FPLANTA%20DE%20ARENA%2F2025%2FFR%20109-01%20Informe%20T&#233;cnico%20de%20Investigaci&#243;n%20de%20Accidentes%20e%20Incidentes&amp;viewid=6eac0f6e-1073-4a98-99d6-a56bf71e815e" TargetMode="External"/><Relationship Id="rId10" Type="http://schemas.openxmlformats.org/officeDocument/2006/relationships/hyperlink" Target="https://maximiasams.sharepoint.com/sites/SGC/Documentos%20compartidos/Forms/AllItems.aspx?id=%2Fsites%2FSGC%2FDocumentos%20compartidos%2F08%20-%20Operaciones%2F03%20-%20Control%20de%20Calidad%2FRegistros%2FHyS%2FCOCINAS%2FPK%20327%2F2025%2FFR%20107%20Control%20de%20Higiene%20y%20Seguridad%2FFR%20109%20Accidentes&amp;viewid=6eac0f6e-1073-4a98-99d6-a56bf71e815e" TargetMode="External"/><Relationship Id="rId4" Type="http://schemas.openxmlformats.org/officeDocument/2006/relationships/hyperlink" Target="https://maximiasams.sharepoint.com/sites/SGC/Documentos%20compartidos/Forms/AllItems.aspx?id=%2Fsites%2FSGC%2FDocumentos%20compartidos%2F08%20-%20Operaciones%2F03%20-%20Control%20de%20Calidad%2FRegistros%2FHyS%2FCOCINAS%2FSALTA%20%28Guemes%29%2F2025%2FFR%20109%20Informe%20de%20Investigaci&#243;n%20de%20Accidentes&amp;viewid=6eac0f6e-1073-4a98-99d6-a56bf71e815e" TargetMode="External"/><Relationship Id="rId9" Type="http://schemas.openxmlformats.org/officeDocument/2006/relationships/hyperlink" Target="https://www.provinciart.com.ar/siniestro/3894739" TargetMode="External"/><Relationship Id="rId1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provinciart.com.ar/siniestro/3866177"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3.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6.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7.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B2:N18"/>
  <sheetViews>
    <sheetView showGridLines="0" workbookViewId="0">
      <selection activeCell="C4" sqref="C4:H4"/>
    </sheetView>
  </sheetViews>
  <sheetFormatPr defaultColWidth="9.140625" defaultRowHeight="13.15"/>
  <cols>
    <col min="2" max="2" width="12.85546875" bestFit="1" customWidth="1"/>
    <col min="3" max="9" width="12.85546875" customWidth="1"/>
    <col min="10" max="10" width="12.7109375" customWidth="1"/>
    <col min="11" max="11" width="13.140625" customWidth="1"/>
    <col min="12" max="13" width="11.5703125" customWidth="1"/>
    <col min="14" max="14" width="12.5703125" customWidth="1"/>
  </cols>
  <sheetData>
    <row r="2" spans="2:14" ht="24" customHeight="1">
      <c r="B2" s="211">
        <v>2024</v>
      </c>
      <c r="C2" s="213" t="s">
        <v>0</v>
      </c>
      <c r="D2" s="213"/>
      <c r="E2" s="213"/>
      <c r="F2" s="213"/>
      <c r="G2" s="213"/>
      <c r="H2" s="213"/>
      <c r="I2" s="213"/>
      <c r="J2" s="213"/>
      <c r="K2" s="213"/>
      <c r="L2" s="213"/>
      <c r="M2" s="213"/>
      <c r="N2" s="214"/>
    </row>
    <row r="3" spans="2:14" ht="26.25" customHeight="1">
      <c r="B3" s="212"/>
      <c r="C3" s="139" t="s">
        <v>1</v>
      </c>
      <c r="D3" s="131" t="s">
        <v>2</v>
      </c>
      <c r="E3" s="131" t="s">
        <v>3</v>
      </c>
      <c r="F3" s="131" t="s">
        <v>4</v>
      </c>
      <c r="G3" s="131" t="s">
        <v>5</v>
      </c>
      <c r="H3" s="131" t="s">
        <v>6</v>
      </c>
      <c r="I3" s="132" t="s">
        <v>7</v>
      </c>
      <c r="J3" s="132" t="s">
        <v>8</v>
      </c>
      <c r="K3" s="131" t="s">
        <v>9</v>
      </c>
      <c r="L3" s="131" t="s">
        <v>10</v>
      </c>
      <c r="M3" s="131" t="s">
        <v>11</v>
      </c>
      <c r="N3" s="133" t="s">
        <v>12</v>
      </c>
    </row>
    <row r="4" spans="2:14">
      <c r="B4" s="136" t="s">
        <v>13</v>
      </c>
      <c r="C4" s="140"/>
      <c r="D4" s="134"/>
      <c r="E4" s="134"/>
      <c r="F4" s="134"/>
      <c r="G4" s="134"/>
      <c r="H4" s="134"/>
      <c r="I4" s="144"/>
      <c r="J4" s="134"/>
      <c r="K4" s="134"/>
      <c r="L4" s="134"/>
      <c r="M4" s="134"/>
      <c r="N4" s="135"/>
    </row>
    <row r="5" spans="2:14">
      <c r="B5" s="137" t="s">
        <v>14</v>
      </c>
      <c r="C5" s="141"/>
      <c r="D5" s="79"/>
      <c r="E5" s="79"/>
      <c r="F5" s="79"/>
      <c r="G5" s="79"/>
      <c r="H5" s="79"/>
      <c r="I5" s="81"/>
      <c r="J5" s="79"/>
      <c r="K5" s="79"/>
      <c r="L5" s="79"/>
      <c r="M5" s="79"/>
      <c r="N5" s="83"/>
    </row>
    <row r="6" spans="2:14">
      <c r="B6" s="137" t="s">
        <v>15</v>
      </c>
      <c r="C6" s="141"/>
      <c r="D6" s="79"/>
      <c r="E6" s="79"/>
      <c r="F6" s="79"/>
      <c r="G6" s="79"/>
      <c r="H6" s="79"/>
      <c r="I6" s="81"/>
      <c r="J6" s="79"/>
      <c r="K6" s="79"/>
      <c r="L6" s="79"/>
      <c r="M6" s="79"/>
      <c r="N6" s="83"/>
    </row>
    <row r="7" spans="2:14">
      <c r="B7" s="137" t="s">
        <v>16</v>
      </c>
      <c r="C7" s="141"/>
      <c r="D7" s="79"/>
      <c r="E7" s="79"/>
      <c r="F7" s="79"/>
      <c r="G7" s="79"/>
      <c r="H7" s="79"/>
      <c r="I7" s="81"/>
      <c r="J7" s="79"/>
      <c r="K7" s="79"/>
      <c r="L7" s="79"/>
      <c r="M7" s="79"/>
      <c r="N7" s="83"/>
    </row>
    <row r="8" spans="2:14">
      <c r="B8" s="137" t="s">
        <v>17</v>
      </c>
      <c r="C8" s="141"/>
      <c r="D8" s="79"/>
      <c r="E8" s="79"/>
      <c r="F8" s="79"/>
      <c r="G8" s="79"/>
      <c r="H8" s="79"/>
      <c r="I8" s="81"/>
      <c r="J8" s="79"/>
      <c r="K8" s="79"/>
      <c r="L8" s="79"/>
      <c r="M8" s="79"/>
      <c r="N8" s="83"/>
    </row>
    <row r="9" spans="2:14">
      <c r="B9" s="137" t="s">
        <v>18</v>
      </c>
      <c r="C9" s="141"/>
      <c r="D9" s="79"/>
      <c r="E9" s="79"/>
      <c r="F9" s="79"/>
      <c r="G9" s="79"/>
      <c r="H9" s="79"/>
      <c r="I9" s="81"/>
      <c r="J9" s="79"/>
      <c r="K9" s="79"/>
      <c r="L9" s="79"/>
      <c r="M9" s="79"/>
      <c r="N9" s="83"/>
    </row>
    <row r="10" spans="2:14">
      <c r="B10" s="137" t="s">
        <v>19</v>
      </c>
      <c r="C10" s="141"/>
      <c r="D10" s="79"/>
      <c r="E10" s="79"/>
      <c r="F10" s="79"/>
      <c r="G10" s="79"/>
      <c r="H10" s="79"/>
      <c r="I10" s="81"/>
      <c r="J10" s="79"/>
      <c r="K10" s="79"/>
      <c r="L10" s="79"/>
      <c r="M10" s="79"/>
      <c r="N10" s="83"/>
    </row>
    <row r="11" spans="2:14">
      <c r="B11" s="137" t="s">
        <v>20</v>
      </c>
      <c r="C11" s="141"/>
      <c r="D11" s="79"/>
      <c r="E11" s="79"/>
      <c r="F11" s="79"/>
      <c r="G11" s="79"/>
      <c r="H11" s="79"/>
      <c r="I11" s="81"/>
      <c r="J11" s="79"/>
      <c r="K11" s="79"/>
      <c r="L11" s="79"/>
      <c r="M11" s="79"/>
      <c r="N11" s="83"/>
    </row>
    <row r="12" spans="2:14">
      <c r="B12" s="137" t="s">
        <v>21</v>
      </c>
      <c r="C12" s="141"/>
      <c r="D12" s="79"/>
      <c r="E12" s="79"/>
      <c r="F12" s="79"/>
      <c r="G12" s="79"/>
      <c r="H12" s="79"/>
      <c r="I12" s="81"/>
      <c r="J12" s="79"/>
      <c r="K12" s="79"/>
      <c r="L12" s="79"/>
      <c r="M12" s="79"/>
      <c r="N12" s="83"/>
    </row>
    <row r="13" spans="2:14">
      <c r="B13" s="137" t="s">
        <v>22</v>
      </c>
      <c r="C13" s="142"/>
      <c r="D13" s="82"/>
      <c r="E13" s="82"/>
      <c r="F13" s="82"/>
      <c r="G13" s="82"/>
      <c r="H13" s="82"/>
      <c r="I13" s="145"/>
      <c r="J13" s="82"/>
      <c r="K13" s="82"/>
      <c r="L13" s="82"/>
      <c r="M13" s="82"/>
      <c r="N13" s="84"/>
    </row>
    <row r="14" spans="2:14">
      <c r="B14" s="137" t="s">
        <v>23</v>
      </c>
      <c r="C14" s="141"/>
      <c r="D14" s="79"/>
      <c r="E14" s="79"/>
      <c r="F14" s="79"/>
      <c r="G14" s="79"/>
      <c r="H14" s="79"/>
      <c r="I14" s="81"/>
      <c r="J14" s="79"/>
      <c r="K14" s="79"/>
      <c r="L14" s="79"/>
      <c r="M14" s="79"/>
      <c r="N14" s="83"/>
    </row>
    <row r="15" spans="2:14">
      <c r="B15" s="137" t="s">
        <v>24</v>
      </c>
      <c r="C15" s="141"/>
      <c r="D15" s="79"/>
      <c r="E15" s="79"/>
      <c r="F15" s="79"/>
      <c r="G15" s="79"/>
      <c r="H15" s="79"/>
      <c r="I15" s="81"/>
      <c r="J15" s="79"/>
      <c r="K15" s="79"/>
      <c r="L15" s="79"/>
      <c r="M15" s="79"/>
      <c r="N15" s="83"/>
    </row>
    <row r="16" spans="2:14">
      <c r="B16" s="137" t="s">
        <v>25</v>
      </c>
      <c r="C16" s="141"/>
      <c r="D16" s="79"/>
      <c r="E16" s="79"/>
      <c r="F16" s="79"/>
      <c r="G16" s="79"/>
      <c r="H16" s="79"/>
      <c r="I16" s="81"/>
      <c r="J16" s="79"/>
      <c r="K16" s="79"/>
      <c r="L16" s="79"/>
      <c r="M16" s="79"/>
      <c r="N16" s="83"/>
    </row>
    <row r="17" spans="2:14">
      <c r="B17" s="138" t="s">
        <v>26</v>
      </c>
      <c r="C17" s="143"/>
      <c r="D17" s="85"/>
      <c r="E17" s="85"/>
      <c r="F17" s="85"/>
      <c r="G17" s="85"/>
      <c r="H17" s="85"/>
      <c r="I17" s="146"/>
      <c r="J17" s="85"/>
      <c r="K17" s="85"/>
      <c r="L17" s="85"/>
      <c r="M17" s="85"/>
      <c r="N17" s="86"/>
    </row>
    <row r="18" spans="2:14">
      <c r="J18" s="130"/>
      <c r="K18" s="130"/>
      <c r="L18" s="130"/>
      <c r="M18" s="130"/>
      <c r="N18" s="130"/>
    </row>
  </sheetData>
  <mergeCells count="2">
    <mergeCell ref="B2:B3"/>
    <mergeCell ref="C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B1:O29"/>
  <sheetViews>
    <sheetView showGridLines="0" workbookViewId="0">
      <selection activeCell="P16" sqref="P16"/>
    </sheetView>
  </sheetViews>
  <sheetFormatPr defaultColWidth="11.42578125" defaultRowHeight="13.15"/>
  <cols>
    <col min="2" max="2" width="19.140625" bestFit="1" customWidth="1"/>
    <col min="3" max="8" width="10.7109375" customWidth="1"/>
    <col min="9" max="9" width="12.7109375" customWidth="1"/>
    <col min="10" max="15" width="10.7109375" customWidth="1"/>
  </cols>
  <sheetData>
    <row r="1" spans="2:15" ht="15.6">
      <c r="B1" s="40"/>
      <c r="C1" s="40"/>
      <c r="D1" s="40"/>
      <c r="E1" s="40"/>
      <c r="F1" s="40"/>
      <c r="N1" s="147"/>
      <c r="O1" s="147"/>
    </row>
    <row r="2" spans="2:15">
      <c r="B2" s="40"/>
      <c r="C2" s="40"/>
      <c r="D2" s="40"/>
      <c r="E2" s="40"/>
      <c r="F2" s="40"/>
      <c r="G2" s="40"/>
      <c r="H2" s="40"/>
      <c r="I2" s="40"/>
      <c r="J2" s="40"/>
      <c r="K2" s="40"/>
      <c r="L2" s="40"/>
      <c r="M2" s="40"/>
      <c r="N2" s="40"/>
      <c r="O2" s="40"/>
    </row>
    <row r="3" spans="2:15">
      <c r="B3" s="149"/>
      <c r="C3" s="150" t="s">
        <v>22</v>
      </c>
      <c r="D3" s="150" t="s">
        <v>18</v>
      </c>
      <c r="E3" s="150" t="s">
        <v>27</v>
      </c>
      <c r="F3" s="151" t="s">
        <v>25</v>
      </c>
      <c r="G3" s="150" t="s">
        <v>13</v>
      </c>
      <c r="H3" s="150" t="s">
        <v>28</v>
      </c>
      <c r="I3" s="150" t="s">
        <v>29</v>
      </c>
      <c r="J3" s="150" t="s">
        <v>23</v>
      </c>
      <c r="K3" s="150" t="s">
        <v>30</v>
      </c>
      <c r="L3" s="150" t="s">
        <v>31</v>
      </c>
      <c r="M3" s="150" t="s">
        <v>32</v>
      </c>
      <c r="N3" s="150" t="s">
        <v>19</v>
      </c>
      <c r="O3" s="150" t="s">
        <v>33</v>
      </c>
    </row>
    <row r="4" spans="2:15">
      <c r="B4" s="148" t="s">
        <v>34</v>
      </c>
      <c r="C4" s="78">
        <f>'CABA '!B19</f>
        <v>0</v>
      </c>
      <c r="D4" s="76">
        <f>'POBA -25'!B19</f>
        <v>24.25</v>
      </c>
      <c r="E4" s="76">
        <f>UBA!B19</f>
        <v>12.083333333333334</v>
      </c>
      <c r="F4" s="80">
        <f>'Bahia Blanca'!B19</f>
        <v>11.416666666666666</v>
      </c>
      <c r="G4" s="76">
        <f>Comirsa!B19</f>
        <v>5</v>
      </c>
      <c r="H4" s="76">
        <f>Olavarria!B19</f>
        <v>0.83333333333333337</v>
      </c>
      <c r="I4" s="76">
        <f>'Rio Colorado'!B19</f>
        <v>0.83333333333333337</v>
      </c>
      <c r="J4" s="78">
        <f>Añelo!B19</f>
        <v>11.083333333333334</v>
      </c>
      <c r="K4" s="76">
        <f>'AESA (Punta Arena)'!B19</f>
        <v>19.333333333333332</v>
      </c>
      <c r="L4" s="77">
        <f>'Ricon de los Sauces'!B19</f>
        <v>41.714285714285715</v>
      </c>
      <c r="M4" s="76">
        <f>'Cordoba 2024'!B19</f>
        <v>5.25</v>
      </c>
      <c r="N4" s="77">
        <f>'San Luis - Villa Mercedes'!B19</f>
        <v>12.25</v>
      </c>
      <c r="O4" s="77">
        <f>Salta!B19</f>
        <v>7.5</v>
      </c>
    </row>
    <row r="5" spans="2:15">
      <c r="B5" s="148" t="s">
        <v>35</v>
      </c>
      <c r="C5" s="78" t="e">
        <f>'CABA '!E22</f>
        <v>#DIV/0!</v>
      </c>
      <c r="D5" s="76">
        <f>'POBA -25'!E22</f>
        <v>82.474226804123717</v>
      </c>
      <c r="E5" s="76">
        <f>UBA!E22</f>
        <v>0</v>
      </c>
      <c r="F5" s="80">
        <f>'Bahia Blanca'!E22</f>
        <v>0</v>
      </c>
      <c r="G5" s="76">
        <f>Comirsa!E22</f>
        <v>0</v>
      </c>
      <c r="H5" s="76">
        <f>Olavarria!E22</f>
        <v>0</v>
      </c>
      <c r="I5" s="76">
        <f>'Rio Colorado'!E22</f>
        <v>0</v>
      </c>
      <c r="J5" s="78">
        <f>Añelo!E22</f>
        <v>0</v>
      </c>
      <c r="K5" s="76">
        <f>'AESA (Punta Arena)'!E22</f>
        <v>0</v>
      </c>
      <c r="L5" s="77">
        <f>'Ricon de los Sauces'!E22</f>
        <v>23.972602739726028</v>
      </c>
      <c r="M5" s="76">
        <f>'Cordoba 2024'!E22</f>
        <v>0</v>
      </c>
      <c r="N5" s="78">
        <f>'San Luis - Villa Mercedes'!E22</f>
        <v>81.632653061224488</v>
      </c>
      <c r="O5" s="78">
        <f>Salta!E22</f>
        <v>133.33333333333334</v>
      </c>
    </row>
    <row r="6" spans="2:15">
      <c r="B6" s="148" t="s">
        <v>36</v>
      </c>
      <c r="C6" s="78" t="e">
        <f>'CABA '!E25</f>
        <v>#DIV/0!</v>
      </c>
      <c r="D6" s="77">
        <f>'POBA -25'!E25</f>
        <v>34.896705750977105</v>
      </c>
      <c r="E6" s="77">
        <f>UBA!E25</f>
        <v>0</v>
      </c>
      <c r="F6" s="80">
        <f>'Bahia Blanca'!E25</f>
        <v>0</v>
      </c>
      <c r="G6" s="77">
        <f>Comirsa!E25</f>
        <v>0</v>
      </c>
      <c r="H6" s="77">
        <f>Olavarria!E25</f>
        <v>0</v>
      </c>
      <c r="I6" s="77">
        <f>'Rio Colorado'!E25</f>
        <v>0</v>
      </c>
      <c r="J6" s="78">
        <f>Añelo!E25</f>
        <v>0</v>
      </c>
      <c r="K6" s="77">
        <f>'AESA (Punta Arena)'!E25</f>
        <v>0</v>
      </c>
      <c r="L6" s="77">
        <f>'Ricon de los Sauces'!E25</f>
        <v>17.337031900138697</v>
      </c>
      <c r="M6" s="77">
        <f>'Cordoba 2024'!E25</f>
        <v>0</v>
      </c>
      <c r="N6" s="77">
        <f>'San Luis - Villa Mercedes'!E25</f>
        <v>35.114825479317368</v>
      </c>
      <c r="O6" s="77">
        <f>Salta!E25</f>
        <v>57.077625570776256</v>
      </c>
    </row>
    <row r="7" spans="2:15">
      <c r="B7" s="148" t="s">
        <v>37</v>
      </c>
      <c r="C7" s="79" t="e">
        <f>'CABA '!E28</f>
        <v>#DIV/0!</v>
      </c>
      <c r="D7" s="76">
        <f>'POBA -25'!E28</f>
        <v>0.20618556701030927</v>
      </c>
      <c r="E7" s="76">
        <f>UBA!E28</f>
        <v>0</v>
      </c>
      <c r="F7" s="81">
        <f>'Bahia Blanca'!E28</f>
        <v>0</v>
      </c>
      <c r="G7" s="76">
        <f>Comirsa!E28</f>
        <v>0</v>
      </c>
      <c r="H7" s="76">
        <f>Olavarria!E28</f>
        <v>0</v>
      </c>
      <c r="I7" s="76">
        <f>'Rio Colorado'!E28</f>
        <v>0</v>
      </c>
      <c r="J7" s="79">
        <f>Añelo!E28</f>
        <v>0</v>
      </c>
      <c r="K7" s="76">
        <f>'AESA (Punta Arena)'!E28</f>
        <v>0</v>
      </c>
      <c r="L7" s="76">
        <f>'Ricon de los Sauces'!E28</f>
        <v>0.59931506849315064</v>
      </c>
      <c r="M7" s="76">
        <f>'Cordoba 2024'!E28</f>
        <v>0</v>
      </c>
      <c r="N7" s="76">
        <f>'San Luis - Villa Mercedes'!E28</f>
        <v>0.89795918367346939</v>
      </c>
      <c r="O7" s="76">
        <f>Salta!E28</f>
        <v>8.1333333333333329</v>
      </c>
    </row>
    <row r="8" spans="2:15">
      <c r="B8" s="40"/>
      <c r="C8" s="40"/>
      <c r="D8" s="40"/>
      <c r="E8" s="40"/>
      <c r="F8" s="40"/>
      <c r="G8" s="40"/>
      <c r="H8" s="40"/>
      <c r="I8" s="40"/>
      <c r="J8" s="40"/>
      <c r="K8" s="40"/>
      <c r="L8" s="40"/>
      <c r="N8" s="40"/>
      <c r="O8" s="40"/>
    </row>
    <row r="9" spans="2:15">
      <c r="B9" s="40"/>
      <c r="C9" s="40"/>
      <c r="D9" s="40"/>
      <c r="E9" s="40"/>
      <c r="F9" s="40"/>
      <c r="G9" s="40"/>
      <c r="H9" s="40"/>
      <c r="I9" s="40"/>
      <c r="J9" s="40"/>
      <c r="K9" s="40"/>
      <c r="L9" s="40"/>
      <c r="M9" s="40"/>
      <c r="N9" s="40"/>
      <c r="O9" s="40"/>
    </row>
    <row r="10" spans="2:15">
      <c r="B10" s="40"/>
      <c r="C10" s="40"/>
      <c r="D10" s="40"/>
      <c r="E10" s="40"/>
      <c r="F10" s="40"/>
      <c r="G10" s="40"/>
      <c r="H10" s="40"/>
      <c r="I10" s="40"/>
      <c r="J10" s="40"/>
      <c r="K10" s="40"/>
      <c r="L10" s="40"/>
      <c r="M10" s="40"/>
      <c r="N10" s="40"/>
      <c r="O10" s="40"/>
    </row>
    <row r="11" spans="2:15">
      <c r="B11" s="40"/>
      <c r="C11" s="40"/>
      <c r="D11" s="40"/>
      <c r="E11" s="40"/>
      <c r="F11" s="40"/>
      <c r="G11" s="40"/>
      <c r="H11" s="40"/>
      <c r="I11" s="40"/>
      <c r="J11" s="40"/>
      <c r="K11" s="40"/>
      <c r="L11" s="40"/>
      <c r="M11" s="40"/>
      <c r="N11" s="40"/>
      <c r="O11" s="40"/>
    </row>
    <row r="12" spans="2:15">
      <c r="B12" s="40"/>
      <c r="C12" s="40"/>
      <c r="D12" s="40"/>
      <c r="E12" s="40"/>
      <c r="F12" s="40"/>
      <c r="G12" s="40"/>
      <c r="H12" s="40"/>
      <c r="I12" s="40"/>
      <c r="J12" s="40"/>
      <c r="K12" s="40"/>
      <c r="L12" s="40"/>
      <c r="M12" s="40"/>
      <c r="N12" s="40"/>
      <c r="O12" s="40"/>
    </row>
    <row r="13" spans="2:15">
      <c r="B13" s="40"/>
      <c r="C13" s="40"/>
      <c r="D13" s="40"/>
      <c r="E13" s="40"/>
      <c r="F13" s="40"/>
      <c r="G13" s="40"/>
      <c r="H13" s="40"/>
      <c r="I13" s="40"/>
      <c r="J13" s="40"/>
      <c r="K13" s="40"/>
      <c r="L13" s="40"/>
      <c r="M13" s="40"/>
      <c r="N13" s="40"/>
      <c r="O13" s="40"/>
    </row>
    <row r="14" spans="2:15">
      <c r="B14" s="40"/>
      <c r="C14" s="40"/>
      <c r="D14" s="40"/>
      <c r="E14" s="40"/>
      <c r="F14" s="40"/>
      <c r="G14" s="40"/>
      <c r="H14" s="40"/>
      <c r="I14" s="40"/>
      <c r="J14" s="40"/>
      <c r="K14" s="40"/>
      <c r="L14" s="40"/>
      <c r="M14" s="40"/>
      <c r="N14" s="40"/>
      <c r="O14" s="40"/>
    </row>
    <row r="15" spans="2:15">
      <c r="B15" s="40"/>
      <c r="C15" s="40"/>
      <c r="D15" s="40"/>
      <c r="E15" s="40"/>
      <c r="F15" s="40"/>
      <c r="G15" s="40"/>
      <c r="H15" s="40"/>
      <c r="I15" s="40"/>
      <c r="J15" s="40"/>
      <c r="K15" s="40"/>
      <c r="L15" s="40"/>
      <c r="M15" s="40"/>
      <c r="N15" s="40"/>
      <c r="O15" s="40"/>
    </row>
    <row r="16" spans="2:15">
      <c r="B16" s="40"/>
      <c r="C16" s="40"/>
      <c r="D16" s="40"/>
      <c r="E16" s="40"/>
      <c r="F16" s="40"/>
      <c r="G16" s="40"/>
      <c r="H16" s="40"/>
      <c r="I16" s="40"/>
      <c r="J16" s="40"/>
      <c r="K16" s="40"/>
      <c r="L16" s="40"/>
      <c r="M16" s="40"/>
      <c r="N16" s="40"/>
      <c r="O16" s="40"/>
    </row>
    <row r="17" spans="2:15">
      <c r="B17" s="40"/>
      <c r="C17" s="40"/>
      <c r="D17" s="40"/>
      <c r="E17" s="40"/>
      <c r="F17" s="40"/>
      <c r="G17" s="40"/>
      <c r="H17" s="40"/>
      <c r="I17" s="40"/>
      <c r="J17" s="40"/>
      <c r="K17" s="40"/>
      <c r="L17" s="40"/>
      <c r="M17" s="40"/>
      <c r="N17" s="40"/>
      <c r="O17" s="40"/>
    </row>
    <row r="18" spans="2:15">
      <c r="B18" s="40"/>
      <c r="C18" s="40"/>
      <c r="D18" s="40"/>
      <c r="E18" s="40"/>
      <c r="F18" s="40"/>
      <c r="G18" s="40"/>
      <c r="H18" s="40"/>
      <c r="I18" s="40"/>
      <c r="J18" s="40"/>
      <c r="K18" s="40"/>
      <c r="L18" s="40"/>
      <c r="M18" s="40"/>
      <c r="N18" s="40"/>
      <c r="O18" s="40"/>
    </row>
    <row r="19" spans="2:15">
      <c r="B19" s="40"/>
      <c r="C19" s="40"/>
      <c r="D19" s="40"/>
      <c r="E19" s="40"/>
      <c r="F19" s="40"/>
      <c r="G19" s="40"/>
      <c r="H19" s="40"/>
      <c r="I19" s="40"/>
      <c r="J19" s="40"/>
      <c r="K19" s="40"/>
      <c r="L19" s="40"/>
      <c r="M19" s="40"/>
      <c r="N19" s="40"/>
      <c r="O19" s="40"/>
    </row>
    <row r="20" spans="2:15">
      <c r="B20" s="40"/>
      <c r="C20" s="40"/>
      <c r="D20" s="40"/>
      <c r="E20" s="40"/>
      <c r="F20" s="40"/>
      <c r="G20" s="40"/>
      <c r="H20" s="40"/>
      <c r="I20" s="40"/>
      <c r="J20" s="40"/>
      <c r="K20" s="40"/>
      <c r="L20" s="40"/>
      <c r="M20" s="40"/>
      <c r="N20" s="40"/>
      <c r="O20" s="40"/>
    </row>
    <row r="21" spans="2:15">
      <c r="B21" s="40"/>
      <c r="C21" s="40"/>
      <c r="D21" s="40"/>
      <c r="E21" s="40"/>
      <c r="F21" s="40"/>
      <c r="G21" s="40"/>
      <c r="H21" s="40"/>
      <c r="I21" s="40"/>
      <c r="J21" s="40"/>
      <c r="K21" s="40"/>
      <c r="L21" s="40"/>
      <c r="M21" s="40"/>
      <c r="N21" s="40"/>
      <c r="O21" s="40"/>
    </row>
    <row r="22" spans="2:15">
      <c r="B22" s="40"/>
      <c r="C22" s="40"/>
      <c r="D22" s="40"/>
      <c r="E22" s="40"/>
      <c r="F22" s="40"/>
      <c r="G22" s="40"/>
      <c r="H22" s="40"/>
      <c r="I22" s="40"/>
      <c r="J22" s="40"/>
      <c r="K22" s="40"/>
      <c r="L22" s="40"/>
      <c r="M22" s="40"/>
      <c r="N22" s="40"/>
      <c r="O22" s="40"/>
    </row>
    <row r="23" spans="2:15">
      <c r="B23" s="40"/>
      <c r="C23" s="40"/>
      <c r="D23" s="40"/>
      <c r="E23" s="40"/>
      <c r="F23" s="40"/>
      <c r="G23" s="40"/>
      <c r="H23" s="40"/>
      <c r="I23" s="40"/>
      <c r="J23" s="40"/>
      <c r="K23" s="40"/>
      <c r="L23" s="40"/>
      <c r="M23" s="40"/>
      <c r="N23" s="40"/>
      <c r="O23" s="40"/>
    </row>
    <row r="24" spans="2:15">
      <c r="B24" s="40"/>
      <c r="C24" s="40"/>
      <c r="D24" s="40"/>
      <c r="E24" s="40"/>
      <c r="F24" s="40"/>
      <c r="G24" s="40"/>
      <c r="H24" s="40"/>
      <c r="I24" s="40"/>
      <c r="J24" s="40"/>
      <c r="K24" s="40"/>
      <c r="L24" s="40"/>
      <c r="M24" s="40"/>
      <c r="N24" s="40"/>
      <c r="O24" s="40"/>
    </row>
    <row r="25" spans="2:15">
      <c r="B25" s="40"/>
      <c r="C25" s="40"/>
      <c r="D25" s="40"/>
      <c r="E25" s="40"/>
      <c r="F25" s="40"/>
      <c r="G25" s="40"/>
      <c r="H25" s="40"/>
      <c r="I25" s="40"/>
      <c r="J25" s="40"/>
      <c r="K25" s="40"/>
      <c r="L25" s="40"/>
      <c r="M25" s="40"/>
      <c r="N25" s="40"/>
      <c r="O25" s="40"/>
    </row>
    <row r="26" spans="2:15">
      <c r="B26" s="40"/>
      <c r="C26" s="40"/>
      <c r="D26" s="40"/>
      <c r="E26" s="40"/>
      <c r="F26" s="40"/>
      <c r="G26" s="40"/>
      <c r="H26" s="40"/>
      <c r="I26" s="40"/>
      <c r="J26" s="40"/>
      <c r="K26" s="40"/>
      <c r="L26" s="40"/>
      <c r="M26" s="40"/>
      <c r="N26" s="40"/>
      <c r="O26" s="40"/>
    </row>
    <row r="27" spans="2:15">
      <c r="B27" s="40"/>
      <c r="C27" s="40"/>
      <c r="D27" s="40"/>
      <c r="E27" s="40"/>
      <c r="F27" s="40"/>
      <c r="G27" s="40"/>
      <c r="H27" s="40"/>
      <c r="I27" s="40"/>
      <c r="J27" s="40"/>
      <c r="K27" s="40"/>
      <c r="L27" s="40"/>
      <c r="M27" s="40"/>
      <c r="N27" s="40"/>
      <c r="O27" s="40"/>
    </row>
    <row r="28" spans="2:15">
      <c r="M28" s="27"/>
    </row>
    <row r="29" spans="2:15">
      <c r="M29" s="27"/>
    </row>
  </sheetData>
  <phoneticPr fontId="0" type="noConversion"/>
  <printOptions horizontalCentered="1"/>
  <pageMargins left="0.98425196850393704" right="0.59055118110236227" top="0.78740157480314965" bottom="0.78740157480314965" header="0" footer="0"/>
  <pageSetup paperSize="9"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E53BB-BF63-4A28-B487-FA5AA5830F15}">
  <sheetPr>
    <tabColor rgb="FFFFFF00"/>
  </sheetPr>
  <dimension ref="B2:F104"/>
  <sheetViews>
    <sheetView showGridLines="0" workbookViewId="0">
      <selection activeCell="K17" sqref="K17"/>
    </sheetView>
  </sheetViews>
  <sheetFormatPr defaultColWidth="8.85546875" defaultRowHeight="13.15"/>
  <cols>
    <col min="2" max="2" width="15.140625" bestFit="1" customWidth="1"/>
    <col min="3" max="3" width="11.5703125" customWidth="1"/>
    <col min="4" max="4" width="9.7109375" customWidth="1"/>
    <col min="5" max="5" width="14.28515625" customWidth="1"/>
    <col min="6" max="6" width="21.5703125" bestFit="1" customWidth="1"/>
  </cols>
  <sheetData>
    <row r="2" spans="2:6" ht="26.45">
      <c r="B2" s="185" t="s">
        <v>38</v>
      </c>
      <c r="C2" s="186" t="s">
        <v>39</v>
      </c>
      <c r="D2" s="186" t="s">
        <v>40</v>
      </c>
      <c r="E2" s="186" t="s">
        <v>41</v>
      </c>
      <c r="F2" s="190" t="s">
        <v>42</v>
      </c>
    </row>
    <row r="3" spans="2:6">
      <c r="B3" s="191" t="s">
        <v>43</v>
      </c>
      <c r="C3" s="166" t="s">
        <v>44</v>
      </c>
      <c r="D3" s="166">
        <v>2024</v>
      </c>
      <c r="E3" s="166">
        <v>0</v>
      </c>
      <c r="F3" s="187" t="s">
        <v>45</v>
      </c>
    </row>
    <row r="4" spans="2:6">
      <c r="B4" s="191" t="s">
        <v>43</v>
      </c>
      <c r="C4" s="166" t="s">
        <v>46</v>
      </c>
      <c r="D4" s="166">
        <v>2024</v>
      </c>
      <c r="E4" s="166">
        <v>0</v>
      </c>
      <c r="F4" s="187" t="s">
        <v>45</v>
      </c>
    </row>
    <row r="5" spans="2:6">
      <c r="B5" s="191" t="s">
        <v>43</v>
      </c>
      <c r="C5" s="166" t="s">
        <v>47</v>
      </c>
      <c r="D5" s="166">
        <v>2024</v>
      </c>
      <c r="E5" s="166">
        <v>0</v>
      </c>
      <c r="F5" s="187" t="s">
        <v>45</v>
      </c>
    </row>
    <row r="6" spans="2:6">
      <c r="B6" s="191" t="s">
        <v>43</v>
      </c>
      <c r="C6" s="166" t="s">
        <v>48</v>
      </c>
      <c r="D6" s="166">
        <v>2024</v>
      </c>
      <c r="E6" s="166">
        <v>0</v>
      </c>
      <c r="F6" s="187" t="s">
        <v>45</v>
      </c>
    </row>
    <row r="7" spans="2:6">
      <c r="B7" s="191" t="s">
        <v>43</v>
      </c>
      <c r="C7" s="166" t="s">
        <v>49</v>
      </c>
      <c r="D7" s="166">
        <v>2024</v>
      </c>
      <c r="E7" s="166">
        <v>0</v>
      </c>
      <c r="F7" s="187" t="s">
        <v>45</v>
      </c>
    </row>
    <row r="8" spans="2:6">
      <c r="B8" s="191" t="s">
        <v>43</v>
      </c>
      <c r="C8" s="166" t="s">
        <v>50</v>
      </c>
      <c r="D8" s="166">
        <v>2024</v>
      </c>
      <c r="E8" s="166">
        <v>0</v>
      </c>
      <c r="F8" s="187" t="s">
        <v>45</v>
      </c>
    </row>
    <row r="9" spans="2:6">
      <c r="B9" s="191" t="s">
        <v>43</v>
      </c>
      <c r="C9" s="166" t="s">
        <v>51</v>
      </c>
      <c r="D9" s="166">
        <v>2024</v>
      </c>
      <c r="E9" s="166">
        <v>0</v>
      </c>
      <c r="F9" s="187" t="s">
        <v>45</v>
      </c>
    </row>
    <row r="10" spans="2:6">
      <c r="B10" s="191" t="s">
        <v>22</v>
      </c>
      <c r="C10" s="166" t="s">
        <v>44</v>
      </c>
      <c r="D10" s="166">
        <v>2024</v>
      </c>
      <c r="E10" s="192">
        <v>0</v>
      </c>
      <c r="F10" s="82" t="s">
        <v>45</v>
      </c>
    </row>
    <row r="11" spans="2:6">
      <c r="B11" s="191" t="s">
        <v>22</v>
      </c>
      <c r="C11" s="166" t="s">
        <v>46</v>
      </c>
      <c r="D11" s="166">
        <v>2024</v>
      </c>
      <c r="E11" s="192">
        <v>0</v>
      </c>
      <c r="F11" s="82" t="s">
        <v>45</v>
      </c>
    </row>
    <row r="12" spans="2:6">
      <c r="B12" s="191" t="s">
        <v>22</v>
      </c>
      <c r="C12" s="166" t="s">
        <v>47</v>
      </c>
      <c r="D12" s="166">
        <v>2024</v>
      </c>
      <c r="E12" s="192">
        <v>0</v>
      </c>
      <c r="F12" s="82" t="s">
        <v>45</v>
      </c>
    </row>
    <row r="13" spans="2:6">
      <c r="B13" s="191" t="s">
        <v>22</v>
      </c>
      <c r="C13" s="166" t="s">
        <v>48</v>
      </c>
      <c r="D13" s="166">
        <v>2024</v>
      </c>
      <c r="E13" s="192">
        <v>0</v>
      </c>
      <c r="F13" s="82" t="s">
        <v>45</v>
      </c>
    </row>
    <row r="14" spans="2:6">
      <c r="B14" s="191" t="s">
        <v>22</v>
      </c>
      <c r="C14" s="166" t="s">
        <v>49</v>
      </c>
      <c r="D14" s="166">
        <v>2024</v>
      </c>
      <c r="E14" s="192">
        <v>0</v>
      </c>
      <c r="F14" s="82" t="s">
        <v>45</v>
      </c>
    </row>
    <row r="15" spans="2:6">
      <c r="B15" s="191" t="s">
        <v>22</v>
      </c>
      <c r="C15" s="166" t="s">
        <v>50</v>
      </c>
      <c r="D15" s="166">
        <v>2024</v>
      </c>
      <c r="E15" s="192">
        <v>0</v>
      </c>
      <c r="F15" s="82">
        <v>105</v>
      </c>
    </row>
    <row r="16" spans="2:6">
      <c r="B16" s="191" t="s">
        <v>22</v>
      </c>
      <c r="C16" s="166" t="s">
        <v>51</v>
      </c>
      <c r="D16" s="166">
        <v>2024</v>
      </c>
      <c r="E16" s="192">
        <v>2</v>
      </c>
      <c r="F16" s="82">
        <v>120</v>
      </c>
    </row>
    <row r="17" spans="2:6">
      <c r="B17" s="194" t="s">
        <v>18</v>
      </c>
      <c r="C17" s="184" t="s">
        <v>44</v>
      </c>
      <c r="D17" s="184">
        <v>2024</v>
      </c>
      <c r="E17" s="192">
        <v>1</v>
      </c>
      <c r="F17" s="189">
        <v>60</v>
      </c>
    </row>
    <row r="18" spans="2:6">
      <c r="B18" s="194" t="s">
        <v>18</v>
      </c>
      <c r="C18" s="166" t="s">
        <v>46</v>
      </c>
      <c r="D18" s="166">
        <v>2024</v>
      </c>
      <c r="E18" s="192">
        <v>0</v>
      </c>
      <c r="F18" s="188">
        <v>90</v>
      </c>
    </row>
    <row r="19" spans="2:6">
      <c r="B19" s="194" t="s">
        <v>18</v>
      </c>
      <c r="C19" s="166" t="s">
        <v>47</v>
      </c>
      <c r="D19" s="166">
        <v>2024</v>
      </c>
      <c r="E19" s="192">
        <v>0</v>
      </c>
      <c r="F19" s="188">
        <v>120</v>
      </c>
    </row>
    <row r="20" spans="2:6">
      <c r="B20" s="194" t="s">
        <v>18</v>
      </c>
      <c r="C20" s="166" t="s">
        <v>48</v>
      </c>
      <c r="D20" s="166">
        <v>2024</v>
      </c>
      <c r="E20" s="192">
        <v>0</v>
      </c>
      <c r="F20" s="188">
        <v>150</v>
      </c>
    </row>
    <row r="21" spans="2:6">
      <c r="B21" s="194" t="s">
        <v>18</v>
      </c>
      <c r="C21" s="166" t="s">
        <v>49</v>
      </c>
      <c r="D21" s="166">
        <v>2024</v>
      </c>
      <c r="E21" s="192">
        <v>0</v>
      </c>
      <c r="F21" s="188">
        <v>180</v>
      </c>
    </row>
    <row r="22" spans="2:6">
      <c r="B22" s="194" t="s">
        <v>18</v>
      </c>
      <c r="C22" s="166" t="s">
        <v>50</v>
      </c>
      <c r="D22" s="166">
        <v>2024</v>
      </c>
      <c r="E22" s="192">
        <v>0</v>
      </c>
      <c r="F22" s="188">
        <v>210</v>
      </c>
    </row>
    <row r="23" spans="2:6">
      <c r="B23" s="194" t="s">
        <v>18</v>
      </c>
      <c r="C23" s="166" t="s">
        <v>51</v>
      </c>
      <c r="D23" s="166">
        <v>2024</v>
      </c>
      <c r="E23" s="193">
        <v>0</v>
      </c>
      <c r="F23" s="188">
        <v>240</v>
      </c>
    </row>
    <row r="24" spans="2:6">
      <c r="B24" s="191" t="s">
        <v>27</v>
      </c>
      <c r="C24" s="166" t="s">
        <v>44</v>
      </c>
      <c r="D24" s="166">
        <v>2024</v>
      </c>
      <c r="E24" s="166">
        <v>0</v>
      </c>
      <c r="F24" s="188" t="s">
        <v>45</v>
      </c>
    </row>
    <row r="25" spans="2:6">
      <c r="B25" s="191" t="s">
        <v>27</v>
      </c>
      <c r="C25" s="166" t="s">
        <v>46</v>
      </c>
      <c r="D25" s="166">
        <v>2024</v>
      </c>
      <c r="E25" s="166">
        <v>0</v>
      </c>
      <c r="F25" s="188" t="s">
        <v>45</v>
      </c>
    </row>
    <row r="26" spans="2:6">
      <c r="B26" s="191" t="s">
        <v>27</v>
      </c>
      <c r="C26" s="166" t="s">
        <v>47</v>
      </c>
      <c r="D26" s="166">
        <v>2024</v>
      </c>
      <c r="E26" s="166">
        <v>0</v>
      </c>
      <c r="F26" s="188" t="s">
        <v>45</v>
      </c>
    </row>
    <row r="27" spans="2:6">
      <c r="B27" s="191" t="s">
        <v>27</v>
      </c>
      <c r="C27" s="166" t="s">
        <v>48</v>
      </c>
      <c r="D27" s="166">
        <v>2024</v>
      </c>
      <c r="E27" s="166">
        <v>0</v>
      </c>
      <c r="F27" s="188" t="s">
        <v>45</v>
      </c>
    </row>
    <row r="28" spans="2:6">
      <c r="B28" s="191" t="s">
        <v>27</v>
      </c>
      <c r="C28" s="166" t="s">
        <v>49</v>
      </c>
      <c r="D28" s="166">
        <v>2024</v>
      </c>
      <c r="E28" s="166">
        <v>0</v>
      </c>
      <c r="F28" s="188" t="s">
        <v>45</v>
      </c>
    </row>
    <row r="29" spans="2:6">
      <c r="B29" s="191" t="s">
        <v>27</v>
      </c>
      <c r="C29" s="166" t="s">
        <v>50</v>
      </c>
      <c r="D29" s="166">
        <v>2024</v>
      </c>
      <c r="E29" s="166">
        <v>0</v>
      </c>
      <c r="F29" s="188" t="s">
        <v>45</v>
      </c>
    </row>
    <row r="30" spans="2:6">
      <c r="B30" s="191" t="s">
        <v>27</v>
      </c>
      <c r="C30" s="166" t="s">
        <v>51</v>
      </c>
      <c r="D30" s="166">
        <v>2024</v>
      </c>
      <c r="E30" s="166">
        <v>0</v>
      </c>
      <c r="F30" s="188" t="s">
        <v>45</v>
      </c>
    </row>
    <row r="31" spans="2:6">
      <c r="B31" s="191" t="s">
        <v>25</v>
      </c>
      <c r="C31" s="166" t="s">
        <v>44</v>
      </c>
      <c r="D31" s="166">
        <v>2024</v>
      </c>
      <c r="E31" s="166">
        <v>0</v>
      </c>
      <c r="F31" s="188" t="s">
        <v>45</v>
      </c>
    </row>
    <row r="32" spans="2:6">
      <c r="B32" s="191" t="s">
        <v>25</v>
      </c>
      <c r="C32" s="166" t="s">
        <v>46</v>
      </c>
      <c r="D32" s="166">
        <v>2024</v>
      </c>
      <c r="E32" s="166">
        <v>0</v>
      </c>
      <c r="F32" s="188" t="s">
        <v>45</v>
      </c>
    </row>
    <row r="33" spans="2:6">
      <c r="B33" s="191" t="s">
        <v>25</v>
      </c>
      <c r="C33" s="166" t="s">
        <v>47</v>
      </c>
      <c r="D33" s="166">
        <v>2024</v>
      </c>
      <c r="E33" s="166">
        <v>0</v>
      </c>
      <c r="F33" s="188" t="s">
        <v>45</v>
      </c>
    </row>
    <row r="34" spans="2:6">
      <c r="B34" s="191" t="s">
        <v>25</v>
      </c>
      <c r="C34" s="166" t="s">
        <v>48</v>
      </c>
      <c r="D34" s="166">
        <v>2024</v>
      </c>
      <c r="E34" s="166">
        <v>0</v>
      </c>
      <c r="F34" s="188" t="s">
        <v>45</v>
      </c>
    </row>
    <row r="35" spans="2:6">
      <c r="B35" s="191" t="s">
        <v>25</v>
      </c>
      <c r="C35" s="166" t="s">
        <v>49</v>
      </c>
      <c r="D35" s="166">
        <v>2024</v>
      </c>
      <c r="E35" s="166">
        <v>0</v>
      </c>
      <c r="F35" s="188" t="s">
        <v>45</v>
      </c>
    </row>
    <row r="36" spans="2:6">
      <c r="B36" s="191" t="s">
        <v>25</v>
      </c>
      <c r="C36" s="166" t="s">
        <v>50</v>
      </c>
      <c r="D36" s="166">
        <v>2024</v>
      </c>
      <c r="E36" s="166">
        <v>0</v>
      </c>
      <c r="F36" s="188" t="s">
        <v>45</v>
      </c>
    </row>
    <row r="37" spans="2:6">
      <c r="B37" s="191" t="s">
        <v>25</v>
      </c>
      <c r="C37" s="166" t="s">
        <v>51</v>
      </c>
      <c r="D37" s="166">
        <v>2024</v>
      </c>
      <c r="E37" s="166">
        <v>0</v>
      </c>
      <c r="F37" s="188" t="s">
        <v>45</v>
      </c>
    </row>
    <row r="38" spans="2:6">
      <c r="B38" s="191" t="s">
        <v>28</v>
      </c>
      <c r="C38" s="166" t="s">
        <v>44</v>
      </c>
      <c r="D38" s="166">
        <v>2024</v>
      </c>
      <c r="E38" s="166">
        <v>0</v>
      </c>
      <c r="F38" s="188" t="s">
        <v>45</v>
      </c>
    </row>
    <row r="39" spans="2:6">
      <c r="B39" s="191" t="s">
        <v>28</v>
      </c>
      <c r="C39" s="166" t="s">
        <v>46</v>
      </c>
      <c r="D39" s="166">
        <v>2024</v>
      </c>
      <c r="E39" s="166">
        <v>0</v>
      </c>
      <c r="F39" s="188" t="s">
        <v>45</v>
      </c>
    </row>
    <row r="40" spans="2:6">
      <c r="B40" s="191" t="s">
        <v>28</v>
      </c>
      <c r="C40" s="166" t="s">
        <v>47</v>
      </c>
      <c r="D40" s="166">
        <v>2024</v>
      </c>
      <c r="E40" s="166">
        <v>0</v>
      </c>
      <c r="F40" s="188" t="s">
        <v>45</v>
      </c>
    </row>
    <row r="41" spans="2:6">
      <c r="B41" s="191" t="s">
        <v>28</v>
      </c>
      <c r="C41" s="166" t="s">
        <v>48</v>
      </c>
      <c r="D41" s="166">
        <v>2024</v>
      </c>
      <c r="E41" s="166">
        <v>0</v>
      </c>
      <c r="F41" s="188" t="s">
        <v>45</v>
      </c>
    </row>
    <row r="42" spans="2:6">
      <c r="B42" s="191" t="s">
        <v>28</v>
      </c>
      <c r="C42" s="166" t="s">
        <v>49</v>
      </c>
      <c r="D42" s="166">
        <v>2024</v>
      </c>
      <c r="E42" s="166">
        <v>0</v>
      </c>
      <c r="F42" s="188" t="s">
        <v>45</v>
      </c>
    </row>
    <row r="43" spans="2:6">
      <c r="B43" s="191" t="s">
        <v>28</v>
      </c>
      <c r="C43" s="166" t="s">
        <v>50</v>
      </c>
      <c r="D43" s="166">
        <v>2024</v>
      </c>
      <c r="E43" s="166">
        <v>0</v>
      </c>
      <c r="F43" s="188" t="s">
        <v>45</v>
      </c>
    </row>
    <row r="44" spans="2:6">
      <c r="B44" s="191" t="s">
        <v>28</v>
      </c>
      <c r="C44" s="166" t="s">
        <v>51</v>
      </c>
      <c r="D44" s="166">
        <v>2024</v>
      </c>
      <c r="E44" s="166">
        <v>0</v>
      </c>
      <c r="F44" s="188" t="s">
        <v>45</v>
      </c>
    </row>
    <row r="45" spans="2:6">
      <c r="B45" s="191" t="s">
        <v>29</v>
      </c>
      <c r="C45" s="166" t="s">
        <v>44</v>
      </c>
      <c r="D45" s="166">
        <v>2024</v>
      </c>
      <c r="E45" s="166">
        <v>0</v>
      </c>
      <c r="F45" s="188" t="s">
        <v>45</v>
      </c>
    </row>
    <row r="46" spans="2:6">
      <c r="B46" s="191" t="s">
        <v>29</v>
      </c>
      <c r="C46" s="166" t="s">
        <v>46</v>
      </c>
      <c r="D46" s="166">
        <v>2024</v>
      </c>
      <c r="E46" s="166">
        <v>0</v>
      </c>
      <c r="F46" s="188" t="s">
        <v>45</v>
      </c>
    </row>
    <row r="47" spans="2:6">
      <c r="B47" s="191" t="s">
        <v>29</v>
      </c>
      <c r="C47" s="166" t="s">
        <v>47</v>
      </c>
      <c r="D47" s="166">
        <v>2024</v>
      </c>
      <c r="E47" s="166">
        <v>0</v>
      </c>
      <c r="F47" s="188" t="s">
        <v>45</v>
      </c>
    </row>
    <row r="48" spans="2:6">
      <c r="B48" s="191" t="s">
        <v>29</v>
      </c>
      <c r="C48" s="166" t="s">
        <v>48</v>
      </c>
      <c r="D48" s="166">
        <v>2024</v>
      </c>
      <c r="E48" s="166">
        <v>0</v>
      </c>
      <c r="F48" s="188" t="s">
        <v>45</v>
      </c>
    </row>
    <row r="49" spans="2:6">
      <c r="B49" s="191" t="s">
        <v>29</v>
      </c>
      <c r="C49" s="166" t="s">
        <v>49</v>
      </c>
      <c r="D49" s="166">
        <v>2024</v>
      </c>
      <c r="E49" s="166">
        <v>0</v>
      </c>
      <c r="F49" s="188" t="s">
        <v>45</v>
      </c>
    </row>
    <row r="50" spans="2:6">
      <c r="B50" s="191" t="s">
        <v>29</v>
      </c>
      <c r="C50" s="166" t="s">
        <v>50</v>
      </c>
      <c r="D50" s="166">
        <v>2024</v>
      </c>
      <c r="E50" s="166">
        <v>0</v>
      </c>
      <c r="F50" s="188" t="s">
        <v>45</v>
      </c>
    </row>
    <row r="51" spans="2:6">
      <c r="B51" s="191" t="s">
        <v>29</v>
      </c>
      <c r="C51" s="166" t="s">
        <v>51</v>
      </c>
      <c r="D51" s="166">
        <v>2024</v>
      </c>
      <c r="E51" s="166">
        <v>0</v>
      </c>
      <c r="F51" s="188" t="s">
        <v>45</v>
      </c>
    </row>
    <row r="52" spans="2:6">
      <c r="B52" s="191" t="s">
        <v>23</v>
      </c>
      <c r="C52" s="166" t="s">
        <v>44</v>
      </c>
      <c r="D52" s="166">
        <v>2024</v>
      </c>
      <c r="E52" s="166">
        <v>0</v>
      </c>
      <c r="F52" s="188" t="s">
        <v>45</v>
      </c>
    </row>
    <row r="53" spans="2:6">
      <c r="B53" s="191" t="s">
        <v>23</v>
      </c>
      <c r="C53" s="166" t="s">
        <v>46</v>
      </c>
      <c r="D53" s="166">
        <v>2024</v>
      </c>
      <c r="E53" s="166">
        <v>0</v>
      </c>
      <c r="F53" s="188" t="s">
        <v>45</v>
      </c>
    </row>
    <row r="54" spans="2:6">
      <c r="B54" s="191" t="s">
        <v>23</v>
      </c>
      <c r="C54" s="166" t="s">
        <v>47</v>
      </c>
      <c r="D54" s="166">
        <v>2024</v>
      </c>
      <c r="E54" s="166">
        <v>0</v>
      </c>
      <c r="F54" s="188">
        <v>120</v>
      </c>
    </row>
    <row r="55" spans="2:6">
      <c r="B55" s="191" t="s">
        <v>23</v>
      </c>
      <c r="C55" s="166" t="s">
        <v>48</v>
      </c>
      <c r="D55" s="166">
        <v>2024</v>
      </c>
      <c r="E55" s="166">
        <v>1</v>
      </c>
      <c r="F55" s="188">
        <v>150</v>
      </c>
    </row>
    <row r="56" spans="2:6">
      <c r="B56" s="191" t="s">
        <v>23</v>
      </c>
      <c r="C56" s="166" t="s">
        <v>49</v>
      </c>
      <c r="D56" s="166">
        <v>2024</v>
      </c>
      <c r="E56" s="166">
        <v>0</v>
      </c>
      <c r="F56" s="188">
        <v>180</v>
      </c>
    </row>
    <row r="57" spans="2:6">
      <c r="B57" s="191" t="s">
        <v>23</v>
      </c>
      <c r="C57" s="166" t="s">
        <v>50</v>
      </c>
      <c r="D57" s="166">
        <v>2024</v>
      </c>
      <c r="E57" s="166">
        <v>0</v>
      </c>
      <c r="F57" s="188">
        <v>210</v>
      </c>
    </row>
    <row r="58" spans="2:6">
      <c r="B58" s="194" t="s">
        <v>23</v>
      </c>
      <c r="C58" s="184" t="s">
        <v>51</v>
      </c>
      <c r="D58" s="184">
        <v>2024</v>
      </c>
      <c r="E58" s="184">
        <v>0</v>
      </c>
      <c r="F58" s="189">
        <v>240</v>
      </c>
    </row>
    <row r="59" spans="2:6">
      <c r="B59" s="191" t="s">
        <v>30</v>
      </c>
      <c r="C59" s="166" t="s">
        <v>44</v>
      </c>
      <c r="D59" s="166">
        <v>2024</v>
      </c>
      <c r="E59" s="166">
        <v>0</v>
      </c>
      <c r="F59" s="188" t="s">
        <v>45</v>
      </c>
    </row>
    <row r="60" spans="2:6">
      <c r="B60" s="191" t="s">
        <v>30</v>
      </c>
      <c r="C60" s="166" t="s">
        <v>46</v>
      </c>
      <c r="D60" s="166">
        <v>2024</v>
      </c>
      <c r="E60" s="166">
        <v>0</v>
      </c>
      <c r="F60" s="188" t="s">
        <v>45</v>
      </c>
    </row>
    <row r="61" spans="2:6">
      <c r="B61" s="191" t="s">
        <v>30</v>
      </c>
      <c r="C61" s="166" t="s">
        <v>47</v>
      </c>
      <c r="D61" s="166">
        <v>2024</v>
      </c>
      <c r="E61" s="166">
        <v>0</v>
      </c>
      <c r="F61" s="188" t="s">
        <v>45</v>
      </c>
    </row>
    <row r="62" spans="2:6">
      <c r="B62" s="191" t="s">
        <v>30</v>
      </c>
      <c r="C62" s="166" t="s">
        <v>48</v>
      </c>
      <c r="D62" s="166">
        <v>2024</v>
      </c>
      <c r="E62" s="166">
        <v>0</v>
      </c>
      <c r="F62" s="188" t="s">
        <v>45</v>
      </c>
    </row>
    <row r="63" spans="2:6">
      <c r="B63" s="191" t="s">
        <v>30</v>
      </c>
      <c r="C63" s="166" t="s">
        <v>49</v>
      </c>
      <c r="D63" s="166">
        <v>2024</v>
      </c>
      <c r="E63" s="166">
        <v>0</v>
      </c>
      <c r="F63" s="188" t="s">
        <v>45</v>
      </c>
    </row>
    <row r="64" spans="2:6">
      <c r="B64" s="191" t="s">
        <v>30</v>
      </c>
      <c r="C64" s="166" t="s">
        <v>50</v>
      </c>
      <c r="D64" s="166">
        <v>2024</v>
      </c>
      <c r="E64" s="166">
        <v>0</v>
      </c>
      <c r="F64" s="188" t="s">
        <v>45</v>
      </c>
    </row>
    <row r="65" spans="2:6">
      <c r="B65" s="194" t="s">
        <v>30</v>
      </c>
      <c r="C65" s="184" t="s">
        <v>51</v>
      </c>
      <c r="D65" s="184">
        <v>2024</v>
      </c>
      <c r="E65" s="184">
        <v>0</v>
      </c>
      <c r="F65" s="189" t="s">
        <v>45</v>
      </c>
    </row>
    <row r="66" spans="2:6">
      <c r="B66" s="191" t="s">
        <v>52</v>
      </c>
      <c r="C66" s="166" t="s">
        <v>44</v>
      </c>
      <c r="D66" s="166">
        <v>2024</v>
      </c>
      <c r="E66" s="166">
        <v>2</v>
      </c>
      <c r="F66" s="188">
        <v>20</v>
      </c>
    </row>
    <row r="67" spans="2:6">
      <c r="B67" s="191" t="s">
        <v>52</v>
      </c>
      <c r="C67" s="166" t="s">
        <v>46</v>
      </c>
      <c r="D67" s="166">
        <v>2024</v>
      </c>
      <c r="E67" s="166">
        <v>1</v>
      </c>
      <c r="F67" s="188">
        <v>22.5</v>
      </c>
    </row>
    <row r="68" spans="2:6">
      <c r="B68" s="191" t="s">
        <v>52</v>
      </c>
      <c r="C68" s="166" t="s">
        <v>47</v>
      </c>
      <c r="D68" s="166">
        <v>2024</v>
      </c>
      <c r="E68" s="166">
        <v>1</v>
      </c>
      <c r="F68" s="188">
        <v>30</v>
      </c>
    </row>
    <row r="69" spans="2:6">
      <c r="B69" s="191" t="s">
        <v>52</v>
      </c>
      <c r="C69" s="166" t="s">
        <v>48</v>
      </c>
      <c r="D69" s="166">
        <v>2024</v>
      </c>
      <c r="E69" s="166">
        <v>0</v>
      </c>
      <c r="F69" s="188">
        <v>37.5</v>
      </c>
    </row>
    <row r="70" spans="2:6">
      <c r="B70" s="191" t="s">
        <v>52</v>
      </c>
      <c r="C70" s="166" t="s">
        <v>49</v>
      </c>
      <c r="D70" s="166">
        <v>2024</v>
      </c>
      <c r="E70" s="166">
        <v>0</v>
      </c>
      <c r="F70" s="188">
        <v>45</v>
      </c>
    </row>
    <row r="71" spans="2:6">
      <c r="B71" s="191" t="s">
        <v>52</v>
      </c>
      <c r="C71" s="166" t="s">
        <v>50</v>
      </c>
      <c r="D71" s="166">
        <v>2024</v>
      </c>
      <c r="E71" s="166">
        <v>0</v>
      </c>
      <c r="F71" s="188">
        <v>52.5</v>
      </c>
    </row>
    <row r="72" spans="2:6">
      <c r="B72" s="194" t="s">
        <v>52</v>
      </c>
      <c r="C72" s="184" t="s">
        <v>51</v>
      </c>
      <c r="D72" s="184">
        <v>2024</v>
      </c>
      <c r="E72" s="184">
        <v>0</v>
      </c>
      <c r="F72" s="189">
        <v>60</v>
      </c>
    </row>
    <row r="73" spans="2:6">
      <c r="B73" s="191" t="s">
        <v>53</v>
      </c>
      <c r="C73" s="166" t="s">
        <v>44</v>
      </c>
      <c r="D73" s="166">
        <v>2024</v>
      </c>
      <c r="E73" s="166">
        <v>0</v>
      </c>
      <c r="F73" s="188" t="s">
        <v>45</v>
      </c>
    </row>
    <row r="74" spans="2:6">
      <c r="B74" s="191" t="s">
        <v>53</v>
      </c>
      <c r="C74" s="166" t="s">
        <v>46</v>
      </c>
      <c r="D74" s="166">
        <v>2024</v>
      </c>
      <c r="E74" s="166">
        <v>0</v>
      </c>
      <c r="F74" s="188" t="s">
        <v>45</v>
      </c>
    </row>
    <row r="75" spans="2:6">
      <c r="B75" s="191" t="s">
        <v>53</v>
      </c>
      <c r="C75" s="166" t="s">
        <v>47</v>
      </c>
      <c r="D75" s="166">
        <v>2024</v>
      </c>
      <c r="E75" s="166">
        <v>0</v>
      </c>
      <c r="F75" s="188" t="s">
        <v>45</v>
      </c>
    </row>
    <row r="76" spans="2:6">
      <c r="B76" s="191" t="s">
        <v>53</v>
      </c>
      <c r="C76" s="166" t="s">
        <v>48</v>
      </c>
      <c r="D76" s="166">
        <v>2024</v>
      </c>
      <c r="E76" s="166">
        <v>0</v>
      </c>
      <c r="F76" s="188" t="s">
        <v>45</v>
      </c>
    </row>
    <row r="77" spans="2:6">
      <c r="B77" s="191" t="s">
        <v>53</v>
      </c>
      <c r="C77" s="166" t="s">
        <v>49</v>
      </c>
      <c r="D77" s="166">
        <v>2024</v>
      </c>
      <c r="E77" s="166">
        <v>0</v>
      </c>
      <c r="F77" s="188" t="s">
        <v>45</v>
      </c>
    </row>
    <row r="78" spans="2:6">
      <c r="B78" s="191" t="s">
        <v>53</v>
      </c>
      <c r="C78" s="166" t="s">
        <v>50</v>
      </c>
      <c r="D78" s="166">
        <v>2024</v>
      </c>
      <c r="E78" s="166">
        <v>0</v>
      </c>
      <c r="F78" s="188" t="s">
        <v>45</v>
      </c>
    </row>
    <row r="79" spans="2:6">
      <c r="B79" s="194" t="s">
        <v>53</v>
      </c>
      <c r="C79" s="184" t="s">
        <v>51</v>
      </c>
      <c r="D79" s="184">
        <v>2024</v>
      </c>
      <c r="E79" s="184">
        <v>0</v>
      </c>
      <c r="F79" s="189" t="s">
        <v>45</v>
      </c>
    </row>
    <row r="80" spans="2:6">
      <c r="B80" s="191" t="s">
        <v>54</v>
      </c>
      <c r="C80" s="166" t="s">
        <v>44</v>
      </c>
      <c r="D80" s="166">
        <v>2024</v>
      </c>
      <c r="E80" s="166">
        <v>1</v>
      </c>
      <c r="F80" s="188">
        <v>60</v>
      </c>
    </row>
    <row r="81" spans="2:6">
      <c r="B81" s="191" t="s">
        <v>54</v>
      </c>
      <c r="C81" s="166" t="s">
        <v>46</v>
      </c>
      <c r="D81" s="166">
        <v>2024</v>
      </c>
      <c r="E81" s="166">
        <v>0</v>
      </c>
      <c r="F81" s="188">
        <v>90</v>
      </c>
    </row>
    <row r="82" spans="2:6">
      <c r="B82" s="191" t="s">
        <v>54</v>
      </c>
      <c r="C82" s="166" t="s">
        <v>47</v>
      </c>
      <c r="D82" s="166">
        <v>2024</v>
      </c>
      <c r="E82" s="166">
        <v>0</v>
      </c>
      <c r="F82" s="188">
        <v>120</v>
      </c>
    </row>
    <row r="83" spans="2:6">
      <c r="B83" s="191" t="s">
        <v>54</v>
      </c>
      <c r="C83" s="166" t="s">
        <v>48</v>
      </c>
      <c r="D83" s="166">
        <v>2024</v>
      </c>
      <c r="E83" s="166">
        <v>0</v>
      </c>
      <c r="F83" s="188">
        <v>150</v>
      </c>
    </row>
    <row r="84" spans="2:6">
      <c r="B84" s="191" t="s">
        <v>54</v>
      </c>
      <c r="C84" s="166" t="s">
        <v>49</v>
      </c>
      <c r="D84" s="166">
        <v>2024</v>
      </c>
      <c r="E84" s="166">
        <v>0</v>
      </c>
      <c r="F84" s="188">
        <v>180</v>
      </c>
    </row>
    <row r="85" spans="2:6">
      <c r="B85" s="191" t="s">
        <v>54</v>
      </c>
      <c r="C85" s="166" t="s">
        <v>50</v>
      </c>
      <c r="D85" s="166">
        <v>2024</v>
      </c>
      <c r="E85" s="166">
        <v>0</v>
      </c>
      <c r="F85" s="188">
        <v>210</v>
      </c>
    </row>
    <row r="86" spans="2:6">
      <c r="B86" s="194" t="s">
        <v>54</v>
      </c>
      <c r="C86" s="184" t="s">
        <v>51</v>
      </c>
      <c r="D86" s="184">
        <v>2024</v>
      </c>
      <c r="E86" s="184">
        <v>0</v>
      </c>
      <c r="F86" s="189">
        <v>240</v>
      </c>
    </row>
    <row r="87" spans="2:6">
      <c r="B87" s="191" t="s">
        <v>55</v>
      </c>
      <c r="C87" s="166" t="s">
        <v>44</v>
      </c>
      <c r="D87" s="166">
        <v>2024</v>
      </c>
      <c r="E87" s="166">
        <v>0</v>
      </c>
      <c r="F87" s="188" t="s">
        <v>45</v>
      </c>
    </row>
    <row r="88" spans="2:6">
      <c r="B88" s="191" t="s">
        <v>55</v>
      </c>
      <c r="C88" s="166" t="s">
        <v>46</v>
      </c>
      <c r="D88" s="166">
        <v>2024</v>
      </c>
      <c r="E88" s="166">
        <v>0</v>
      </c>
      <c r="F88" s="188" t="s">
        <v>45</v>
      </c>
    </row>
    <row r="89" spans="2:6">
      <c r="B89" s="191" t="s">
        <v>55</v>
      </c>
      <c r="C89" s="166" t="s">
        <v>47</v>
      </c>
      <c r="D89" s="166">
        <v>2024</v>
      </c>
      <c r="E89" s="166">
        <v>0</v>
      </c>
      <c r="F89" s="188" t="s">
        <v>45</v>
      </c>
    </row>
    <row r="90" spans="2:6">
      <c r="B90" s="191" t="s">
        <v>55</v>
      </c>
      <c r="C90" s="166" t="s">
        <v>48</v>
      </c>
      <c r="D90" s="166">
        <v>2024</v>
      </c>
      <c r="E90" s="166">
        <v>0</v>
      </c>
      <c r="F90" s="188" t="s">
        <v>45</v>
      </c>
    </row>
    <row r="91" spans="2:6">
      <c r="B91" s="191" t="s">
        <v>55</v>
      </c>
      <c r="C91" s="166" t="s">
        <v>49</v>
      </c>
      <c r="D91" s="166">
        <v>2024</v>
      </c>
      <c r="E91" s="166">
        <v>0</v>
      </c>
      <c r="F91" s="188" t="s">
        <v>45</v>
      </c>
    </row>
    <row r="92" spans="2:6">
      <c r="B92" s="191" t="s">
        <v>55</v>
      </c>
      <c r="C92" s="166" t="s">
        <v>50</v>
      </c>
      <c r="D92" s="166">
        <v>2024</v>
      </c>
      <c r="E92" s="166">
        <v>0</v>
      </c>
      <c r="F92" s="188">
        <v>105</v>
      </c>
    </row>
    <row r="93" spans="2:6">
      <c r="B93" s="194" t="s">
        <v>55</v>
      </c>
      <c r="C93" s="184" t="s">
        <v>51</v>
      </c>
      <c r="D93" s="184">
        <v>2024</v>
      </c>
      <c r="E93" s="184">
        <v>2</v>
      </c>
      <c r="F93" s="189">
        <v>120</v>
      </c>
    </row>
    <row r="94" spans="2:6">
      <c r="B94" s="191" t="s">
        <v>56</v>
      </c>
      <c r="C94" s="166" t="s">
        <v>44</v>
      </c>
      <c r="D94" s="166">
        <v>2024</v>
      </c>
      <c r="E94" s="166">
        <v>0</v>
      </c>
      <c r="F94" s="188" t="s">
        <v>45</v>
      </c>
    </row>
    <row r="95" spans="2:6">
      <c r="B95" s="191" t="s">
        <v>56</v>
      </c>
      <c r="C95" s="166" t="s">
        <v>46</v>
      </c>
      <c r="D95" s="166">
        <v>2024</v>
      </c>
      <c r="E95" s="166">
        <v>0</v>
      </c>
      <c r="F95" s="188" t="s">
        <v>45</v>
      </c>
    </row>
    <row r="96" spans="2:6">
      <c r="B96" s="191" t="s">
        <v>56</v>
      </c>
      <c r="C96" s="166" t="s">
        <v>47</v>
      </c>
      <c r="D96" s="166">
        <v>2024</v>
      </c>
      <c r="E96" s="166">
        <v>0</v>
      </c>
      <c r="F96" s="188" t="s">
        <v>45</v>
      </c>
    </row>
    <row r="97" spans="2:6">
      <c r="B97" s="191" t="s">
        <v>56</v>
      </c>
      <c r="C97" s="166" t="s">
        <v>48</v>
      </c>
      <c r="D97" s="166">
        <v>2024</v>
      </c>
      <c r="E97" s="166">
        <v>0</v>
      </c>
      <c r="F97" s="188">
        <v>150</v>
      </c>
    </row>
    <row r="98" spans="2:6">
      <c r="B98" s="191" t="s">
        <v>56</v>
      </c>
      <c r="C98" s="166" t="s">
        <v>49</v>
      </c>
      <c r="D98" s="166">
        <v>2024</v>
      </c>
      <c r="E98" s="166">
        <v>1</v>
      </c>
      <c r="F98" s="188">
        <v>180</v>
      </c>
    </row>
    <row r="99" spans="2:6">
      <c r="B99" s="191" t="s">
        <v>56</v>
      </c>
      <c r="C99" s="166" t="s">
        <v>50</v>
      </c>
      <c r="D99" s="166">
        <v>2024</v>
      </c>
      <c r="E99" s="166">
        <v>0</v>
      </c>
      <c r="F99" s="188">
        <v>210</v>
      </c>
    </row>
    <row r="100" spans="2:6">
      <c r="B100" s="194" t="s">
        <v>56</v>
      </c>
      <c r="C100" s="184" t="s">
        <v>51</v>
      </c>
      <c r="D100" s="184">
        <v>2024</v>
      </c>
      <c r="E100" s="184">
        <v>0</v>
      </c>
      <c r="F100" s="189">
        <v>240</v>
      </c>
    </row>
    <row r="101" spans="2:6">
      <c r="B101" s="191" t="s">
        <v>57</v>
      </c>
      <c r="C101" s="166" t="s">
        <v>44</v>
      </c>
      <c r="D101" s="166">
        <v>2024</v>
      </c>
      <c r="E101" s="166">
        <v>1</v>
      </c>
      <c r="F101" s="82">
        <v>30</v>
      </c>
    </row>
    <row r="102" spans="2:6">
      <c r="B102" s="191" t="s">
        <v>57</v>
      </c>
      <c r="C102" s="166" t="s">
        <v>46</v>
      </c>
      <c r="D102" s="166">
        <v>2024</v>
      </c>
      <c r="E102" s="166">
        <v>1</v>
      </c>
      <c r="F102" s="82">
        <v>45</v>
      </c>
    </row>
    <row r="103" spans="2:6">
      <c r="B103" s="191" t="s">
        <v>57</v>
      </c>
      <c r="C103" s="166" t="s">
        <v>47</v>
      </c>
      <c r="D103" s="166">
        <v>2024</v>
      </c>
      <c r="E103" s="166">
        <v>0</v>
      </c>
      <c r="F103" s="82">
        <v>60</v>
      </c>
    </row>
    <row r="104" spans="2:6">
      <c r="B104" s="194" t="s">
        <v>58</v>
      </c>
      <c r="C104" s="184"/>
      <c r="D104" s="184"/>
      <c r="E104" s="184">
        <f>SUBTOTAL(109,E3:E103)</f>
        <v>14</v>
      </c>
      <c r="F104" s="18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39997558519241921"/>
    <pageSetUpPr fitToPage="1"/>
  </sheetPr>
  <dimension ref="A1:AY76"/>
  <sheetViews>
    <sheetView workbookViewId="0">
      <selection activeCell="F35" sqref="F35"/>
    </sheetView>
  </sheetViews>
  <sheetFormatPr defaultColWidth="11.42578125" defaultRowHeight="27" customHeight="1"/>
  <cols>
    <col min="1" max="1" width="40.140625" bestFit="1" customWidth="1"/>
    <col min="2" max="5" width="11.28515625" customWidth="1"/>
    <col min="6" max="6" width="55.28515625" customWidth="1"/>
    <col min="7" max="7" width="10" style="2" customWidth="1"/>
    <col min="8" max="8" width="9.140625" bestFit="1" customWidth="1"/>
    <col min="9" max="45" width="7" customWidth="1"/>
  </cols>
  <sheetData>
    <row r="1" spans="1:51" ht="27" customHeight="1">
      <c r="A1" s="29"/>
      <c r="B1" s="30"/>
      <c r="C1" s="30"/>
      <c r="D1" s="30"/>
      <c r="E1" s="30"/>
      <c r="F1" s="30"/>
    </row>
    <row r="2" spans="1:51" ht="27" customHeight="1">
      <c r="A2" s="31" t="s">
        <v>59</v>
      </c>
      <c r="B2" s="32" t="s">
        <v>60</v>
      </c>
      <c r="C2" s="31" t="s">
        <v>61</v>
      </c>
      <c r="D2" s="31" t="s">
        <v>62</v>
      </c>
      <c r="E2" s="31" t="s">
        <v>63</v>
      </c>
      <c r="F2" s="31" t="s">
        <v>64</v>
      </c>
      <c r="G2" s="35" t="s">
        <v>65</v>
      </c>
      <c r="H2" s="34">
        <v>44927</v>
      </c>
      <c r="I2" s="34">
        <v>44958</v>
      </c>
      <c r="J2" s="34">
        <v>44986</v>
      </c>
      <c r="K2" s="34">
        <v>45017</v>
      </c>
      <c r="L2" s="34">
        <v>45047</v>
      </c>
      <c r="M2" s="34">
        <v>45078</v>
      </c>
      <c r="N2" s="34">
        <v>45108</v>
      </c>
      <c r="O2" s="34">
        <v>45139</v>
      </c>
      <c r="P2" s="34">
        <v>45170</v>
      </c>
      <c r="Q2" s="34">
        <v>45200</v>
      </c>
      <c r="R2" s="34">
        <v>45231</v>
      </c>
      <c r="S2" s="34">
        <v>45261</v>
      </c>
      <c r="T2" s="34">
        <v>45292</v>
      </c>
      <c r="U2" s="34">
        <v>45323</v>
      </c>
      <c r="V2" s="34">
        <v>45352</v>
      </c>
      <c r="W2" s="34">
        <v>45383</v>
      </c>
      <c r="X2" s="34">
        <v>45413</v>
      </c>
      <c r="Y2" s="34">
        <v>45444</v>
      </c>
      <c r="Z2" s="34">
        <v>45474</v>
      </c>
      <c r="AA2" s="34">
        <v>45505</v>
      </c>
      <c r="AB2" s="34">
        <v>45536</v>
      </c>
      <c r="AC2" s="34">
        <v>45566</v>
      </c>
      <c r="AD2" s="34">
        <v>45597</v>
      </c>
      <c r="AE2" s="34">
        <v>45627</v>
      </c>
      <c r="AF2" s="34">
        <v>45658</v>
      </c>
      <c r="AG2" s="34">
        <v>45689</v>
      </c>
      <c r="AH2" s="34">
        <v>45717</v>
      </c>
      <c r="AI2" s="34">
        <v>45748</v>
      </c>
      <c r="AJ2" s="34">
        <v>45778</v>
      </c>
      <c r="AK2" s="34">
        <v>45809</v>
      </c>
      <c r="AL2" s="34">
        <v>45839</v>
      </c>
      <c r="AM2" s="34">
        <v>45870</v>
      </c>
      <c r="AN2" s="34">
        <v>45901</v>
      </c>
      <c r="AO2" s="34">
        <v>45931</v>
      </c>
      <c r="AP2" s="34">
        <v>45962</v>
      </c>
      <c r="AQ2" s="34">
        <v>45992</v>
      </c>
      <c r="AR2" s="34">
        <v>46023</v>
      </c>
      <c r="AS2" s="34">
        <v>46054</v>
      </c>
      <c r="AT2" s="34"/>
      <c r="AU2" s="34"/>
      <c r="AV2" s="34"/>
      <c r="AW2" s="34"/>
      <c r="AX2" s="34"/>
      <c r="AY2" s="34"/>
    </row>
    <row r="3" spans="1:51" s="33" customFormat="1" ht="20.25" customHeight="1">
      <c r="A3" s="88" t="s">
        <v>66</v>
      </c>
      <c r="B3" s="97" t="s">
        <v>67</v>
      </c>
      <c r="C3" s="98">
        <v>44937</v>
      </c>
      <c r="D3" s="99" t="s">
        <v>68</v>
      </c>
      <c r="E3" s="100">
        <v>6</v>
      </c>
      <c r="F3" s="99" t="s">
        <v>69</v>
      </c>
      <c r="G3" s="33" t="s">
        <v>70</v>
      </c>
      <c r="H3" s="52" t="s">
        <v>71</v>
      </c>
    </row>
    <row r="4" spans="1:51" s="33" customFormat="1" ht="36.75" customHeight="1">
      <c r="A4" s="89" t="s">
        <v>72</v>
      </c>
      <c r="B4" s="101" t="s">
        <v>67</v>
      </c>
      <c r="C4" s="102" t="s">
        <v>73</v>
      </c>
      <c r="D4" s="102" t="s">
        <v>74</v>
      </c>
      <c r="E4" s="103">
        <v>2</v>
      </c>
      <c r="F4" s="104" t="s">
        <v>75</v>
      </c>
      <c r="G4" s="33" t="s">
        <v>70</v>
      </c>
      <c r="H4" s="52" t="s">
        <v>71</v>
      </c>
    </row>
    <row r="5" spans="1:51" s="33" customFormat="1" ht="21" customHeight="1">
      <c r="A5" s="89" t="s">
        <v>76</v>
      </c>
      <c r="B5" s="102" t="s">
        <v>18</v>
      </c>
      <c r="C5" s="105">
        <v>44962</v>
      </c>
      <c r="D5" s="104" t="s">
        <v>77</v>
      </c>
      <c r="E5" s="106">
        <v>5</v>
      </c>
      <c r="F5" s="102" t="s">
        <v>78</v>
      </c>
      <c r="G5" s="33" t="s">
        <v>79</v>
      </c>
      <c r="H5" s="52" t="s">
        <v>71</v>
      </c>
    </row>
    <row r="6" spans="1:51" ht="27" customHeight="1">
      <c r="A6" s="90" t="s">
        <v>80</v>
      </c>
      <c r="B6" s="107" t="s">
        <v>67</v>
      </c>
      <c r="C6" s="102" t="s">
        <v>81</v>
      </c>
      <c r="D6" s="104" t="s">
        <v>82</v>
      </c>
      <c r="E6" s="103">
        <v>2</v>
      </c>
      <c r="F6" s="104" t="s">
        <v>83</v>
      </c>
      <c r="G6" s="33" t="s">
        <v>70</v>
      </c>
      <c r="I6" s="52" t="s">
        <v>71</v>
      </c>
    </row>
    <row r="7" spans="1:51" ht="27" customHeight="1">
      <c r="A7" s="89" t="s">
        <v>80</v>
      </c>
      <c r="B7" s="107" t="s">
        <v>67</v>
      </c>
      <c r="C7" s="105">
        <v>44977</v>
      </c>
      <c r="D7" s="104" t="s">
        <v>84</v>
      </c>
      <c r="E7" s="103">
        <v>2</v>
      </c>
      <c r="F7" s="102" t="s">
        <v>85</v>
      </c>
      <c r="G7" s="33" t="s">
        <v>70</v>
      </c>
      <c r="I7" s="52" t="s">
        <v>71</v>
      </c>
    </row>
    <row r="8" spans="1:51" ht="27" customHeight="1">
      <c r="A8" s="89" t="s">
        <v>86</v>
      </c>
      <c r="B8" s="107" t="s">
        <v>87</v>
      </c>
      <c r="C8" s="102" t="s">
        <v>88</v>
      </c>
      <c r="D8" s="104" t="s">
        <v>89</v>
      </c>
      <c r="E8" s="103">
        <v>23</v>
      </c>
      <c r="F8" s="104" t="s">
        <v>90</v>
      </c>
      <c r="G8" s="33" t="s">
        <v>70</v>
      </c>
      <c r="J8" s="52" t="s">
        <v>71</v>
      </c>
      <c r="K8" s="52" t="s">
        <v>71</v>
      </c>
    </row>
    <row r="9" spans="1:51" ht="21">
      <c r="A9" s="89" t="s">
        <v>91</v>
      </c>
      <c r="B9" s="107" t="s">
        <v>16</v>
      </c>
      <c r="C9" s="105">
        <v>45044</v>
      </c>
      <c r="D9" s="104" t="s">
        <v>92</v>
      </c>
      <c r="E9" s="103">
        <v>14</v>
      </c>
      <c r="F9" s="102" t="s">
        <v>93</v>
      </c>
      <c r="G9" s="33" t="s">
        <v>70</v>
      </c>
      <c r="K9" s="52" t="s">
        <v>71</v>
      </c>
      <c r="L9" s="52" t="s">
        <v>71</v>
      </c>
    </row>
    <row r="10" spans="1:51" ht="39.75" customHeight="1">
      <c r="A10" s="89" t="s">
        <v>94</v>
      </c>
      <c r="B10" s="108" t="s">
        <v>95</v>
      </c>
      <c r="C10" s="102" t="s">
        <v>96</v>
      </c>
      <c r="D10" s="104" t="s">
        <v>97</v>
      </c>
      <c r="E10" s="109">
        <v>54</v>
      </c>
      <c r="F10" s="102" t="s">
        <v>98</v>
      </c>
      <c r="G10" s="33" t="s">
        <v>70</v>
      </c>
      <c r="K10" s="52" t="s">
        <v>71</v>
      </c>
      <c r="L10" s="52" t="s">
        <v>71</v>
      </c>
      <c r="M10" s="52" t="s">
        <v>71</v>
      </c>
    </row>
    <row r="11" spans="1:51" ht="45" customHeight="1">
      <c r="A11" s="89" t="s">
        <v>99</v>
      </c>
      <c r="B11" s="107" t="s">
        <v>100</v>
      </c>
      <c r="C11" s="105">
        <v>45055</v>
      </c>
      <c r="D11" s="104" t="s">
        <v>101</v>
      </c>
      <c r="E11" s="103">
        <v>6</v>
      </c>
      <c r="F11" s="102" t="s">
        <v>102</v>
      </c>
      <c r="G11" s="33" t="s">
        <v>79</v>
      </c>
      <c r="L11" s="52" t="s">
        <v>71</v>
      </c>
    </row>
    <row r="12" spans="1:51" ht="42" customHeight="1">
      <c r="A12" s="89" t="s">
        <v>103</v>
      </c>
      <c r="B12" s="107" t="s">
        <v>16</v>
      </c>
      <c r="C12" s="104" t="s">
        <v>104</v>
      </c>
      <c r="D12" s="104" t="s">
        <v>105</v>
      </c>
      <c r="E12" s="103">
        <v>144</v>
      </c>
      <c r="F12" s="102" t="s">
        <v>106</v>
      </c>
      <c r="G12" s="33" t="s">
        <v>70</v>
      </c>
      <c r="L12" s="52" t="s">
        <v>71</v>
      </c>
      <c r="M12" s="52" t="s">
        <v>71</v>
      </c>
      <c r="N12" s="52" t="s">
        <v>71</v>
      </c>
      <c r="O12" s="52" t="s">
        <v>71</v>
      </c>
      <c r="P12" s="52" t="s">
        <v>71</v>
      </c>
    </row>
    <row r="13" spans="1:51" ht="27" customHeight="1">
      <c r="A13" s="90" t="s">
        <v>107</v>
      </c>
      <c r="B13" s="107" t="s">
        <v>108</v>
      </c>
      <c r="C13" s="104" t="s">
        <v>92</v>
      </c>
      <c r="D13" s="104" t="s">
        <v>109</v>
      </c>
      <c r="E13" s="103">
        <v>3</v>
      </c>
      <c r="F13" s="104" t="s">
        <v>110</v>
      </c>
      <c r="G13" s="33" t="s">
        <v>70</v>
      </c>
      <c r="L13" s="52" t="s">
        <v>71</v>
      </c>
      <c r="Q13" s="33" t="s">
        <v>71</v>
      </c>
    </row>
    <row r="14" spans="1:51" ht="27" customHeight="1">
      <c r="A14" s="90" t="s">
        <v>107</v>
      </c>
      <c r="B14" s="108" t="s">
        <v>108</v>
      </c>
      <c r="C14" s="104" t="s">
        <v>111</v>
      </c>
      <c r="D14" s="108" t="s">
        <v>112</v>
      </c>
      <c r="E14" s="109" t="s">
        <v>112</v>
      </c>
      <c r="F14" s="108" t="s">
        <v>113</v>
      </c>
      <c r="G14" s="33" t="s">
        <v>70</v>
      </c>
    </row>
    <row r="15" spans="1:51" ht="45" customHeight="1">
      <c r="A15" s="89" t="s">
        <v>114</v>
      </c>
      <c r="B15" s="108" t="s">
        <v>67</v>
      </c>
      <c r="C15" s="104" t="s">
        <v>115</v>
      </c>
      <c r="D15" s="110">
        <v>45184</v>
      </c>
      <c r="E15" s="109">
        <v>127</v>
      </c>
      <c r="F15" s="102" t="s">
        <v>116</v>
      </c>
      <c r="G15" s="33" t="s">
        <v>70</v>
      </c>
      <c r="L15" s="52" t="s">
        <v>71</v>
      </c>
      <c r="M15" s="52" t="s">
        <v>71</v>
      </c>
      <c r="N15" s="52" t="s">
        <v>71</v>
      </c>
      <c r="O15" s="52" t="s">
        <v>71</v>
      </c>
      <c r="P15" s="52" t="s">
        <v>71</v>
      </c>
    </row>
    <row r="16" spans="1:51" ht="27" customHeight="1">
      <c r="A16" s="89" t="s">
        <v>117</v>
      </c>
      <c r="B16" s="107" t="s">
        <v>87</v>
      </c>
      <c r="C16" s="104" t="s">
        <v>118</v>
      </c>
      <c r="D16" s="104" t="s">
        <v>119</v>
      </c>
      <c r="E16" s="109">
        <v>44</v>
      </c>
      <c r="F16" s="104" t="s">
        <v>120</v>
      </c>
      <c r="G16" s="33" t="s">
        <v>70</v>
      </c>
      <c r="M16" s="52" t="s">
        <v>71</v>
      </c>
      <c r="N16" s="52" t="s">
        <v>71</v>
      </c>
    </row>
    <row r="17" spans="1:18" ht="27" customHeight="1">
      <c r="A17" s="90" t="s">
        <v>121</v>
      </c>
      <c r="B17" s="108" t="s">
        <v>100</v>
      </c>
      <c r="C17" s="104" t="s">
        <v>122</v>
      </c>
      <c r="D17" s="104" t="s">
        <v>123</v>
      </c>
      <c r="E17" s="109">
        <v>20</v>
      </c>
      <c r="F17" s="104" t="s">
        <v>124</v>
      </c>
      <c r="G17" s="33" t="s">
        <v>79</v>
      </c>
      <c r="M17" s="52" t="s">
        <v>71</v>
      </c>
    </row>
    <row r="18" spans="1:18" ht="27" customHeight="1">
      <c r="A18" s="89" t="s">
        <v>125</v>
      </c>
      <c r="B18" s="108" t="s">
        <v>87</v>
      </c>
      <c r="C18" s="110">
        <v>45100</v>
      </c>
      <c r="D18" s="104" t="s">
        <v>126</v>
      </c>
      <c r="E18" s="109">
        <v>11</v>
      </c>
      <c r="F18" s="104" t="s">
        <v>127</v>
      </c>
      <c r="G18" s="33" t="s">
        <v>70</v>
      </c>
      <c r="M18" s="52" t="s">
        <v>71</v>
      </c>
    </row>
    <row r="19" spans="1:18" ht="27" customHeight="1">
      <c r="A19" s="89" t="s">
        <v>128</v>
      </c>
      <c r="B19" s="108" t="s">
        <v>87</v>
      </c>
      <c r="C19" s="110">
        <v>45104</v>
      </c>
      <c r="D19" s="104" t="s">
        <v>129</v>
      </c>
      <c r="E19" s="109">
        <v>20</v>
      </c>
      <c r="F19" s="104" t="s">
        <v>130</v>
      </c>
      <c r="G19" s="33" t="s">
        <v>70</v>
      </c>
      <c r="M19" s="52" t="s">
        <v>71</v>
      </c>
      <c r="N19" s="52" t="s">
        <v>71</v>
      </c>
    </row>
    <row r="20" spans="1:18" ht="27" customHeight="1">
      <c r="A20" s="89" t="s">
        <v>131</v>
      </c>
      <c r="B20" s="108" t="s">
        <v>67</v>
      </c>
      <c r="C20" s="104" t="s">
        <v>132</v>
      </c>
      <c r="D20" s="102" t="s">
        <v>133</v>
      </c>
      <c r="E20" s="109">
        <v>109</v>
      </c>
      <c r="F20" s="102" t="s">
        <v>134</v>
      </c>
      <c r="G20" s="33" t="s">
        <v>70</v>
      </c>
      <c r="N20" s="53"/>
      <c r="O20" s="52" t="s">
        <v>71</v>
      </c>
      <c r="P20" s="52" t="s">
        <v>71</v>
      </c>
      <c r="Q20" s="52" t="s">
        <v>71</v>
      </c>
      <c r="R20" s="52" t="s">
        <v>71</v>
      </c>
    </row>
    <row r="21" spans="1:18" ht="44.25" customHeight="1">
      <c r="A21" s="89" t="s">
        <v>135</v>
      </c>
      <c r="B21" s="108" t="s">
        <v>136</v>
      </c>
      <c r="C21" s="110">
        <v>45130</v>
      </c>
      <c r="D21" s="104" t="s">
        <v>137</v>
      </c>
      <c r="E21" s="109">
        <v>5</v>
      </c>
      <c r="F21" s="107" t="s">
        <v>138</v>
      </c>
      <c r="G21" s="33" t="s">
        <v>70</v>
      </c>
      <c r="N21" s="52" t="s">
        <v>71</v>
      </c>
    </row>
    <row r="22" spans="1:18" ht="27" customHeight="1">
      <c r="A22" s="89" t="s">
        <v>139</v>
      </c>
      <c r="B22" s="108" t="s">
        <v>67</v>
      </c>
      <c r="C22" s="102" t="s">
        <v>140</v>
      </c>
      <c r="D22" s="102" t="s">
        <v>141</v>
      </c>
      <c r="E22" s="109">
        <v>5</v>
      </c>
      <c r="F22" s="102" t="s">
        <v>142</v>
      </c>
      <c r="G22" s="33" t="s">
        <v>70</v>
      </c>
      <c r="P22" s="52" t="s">
        <v>71</v>
      </c>
    </row>
    <row r="23" spans="1:18" ht="27" customHeight="1">
      <c r="A23" s="89" t="s">
        <v>143</v>
      </c>
      <c r="B23" s="108" t="s">
        <v>67</v>
      </c>
      <c r="C23" s="105">
        <v>45192</v>
      </c>
      <c r="D23" s="104" t="s">
        <v>144</v>
      </c>
      <c r="E23" s="109">
        <v>9</v>
      </c>
      <c r="F23" s="102" t="s">
        <v>145</v>
      </c>
      <c r="G23" s="33" t="s">
        <v>79</v>
      </c>
      <c r="P23" s="52" t="s">
        <v>71</v>
      </c>
      <c r="Q23" s="52" t="s">
        <v>71</v>
      </c>
    </row>
    <row r="24" spans="1:18" ht="39.75" customHeight="1">
      <c r="A24" s="89" t="s">
        <v>146</v>
      </c>
      <c r="B24" s="108" t="s">
        <v>147</v>
      </c>
      <c r="C24" s="104" t="s">
        <v>148</v>
      </c>
      <c r="D24" s="104" t="s">
        <v>149</v>
      </c>
      <c r="E24" s="109">
        <v>30</v>
      </c>
      <c r="F24" s="102" t="s">
        <v>150</v>
      </c>
      <c r="G24" s="33" t="s">
        <v>70</v>
      </c>
      <c r="P24" s="52" t="s">
        <v>71</v>
      </c>
      <c r="Q24" s="52" t="s">
        <v>71</v>
      </c>
    </row>
    <row r="25" spans="1:18" ht="45.75" customHeight="1">
      <c r="A25" s="90" t="s">
        <v>151</v>
      </c>
      <c r="B25" s="108" t="s">
        <v>67</v>
      </c>
      <c r="C25" s="104" t="s">
        <v>152</v>
      </c>
      <c r="D25" s="104" t="s">
        <v>153</v>
      </c>
      <c r="E25" s="109">
        <v>8</v>
      </c>
      <c r="F25" s="102" t="s">
        <v>154</v>
      </c>
      <c r="G25" s="33" t="s">
        <v>70</v>
      </c>
      <c r="P25" s="52" t="s">
        <v>71</v>
      </c>
      <c r="Q25" s="52" t="s">
        <v>71</v>
      </c>
    </row>
    <row r="26" spans="1:18" ht="27" customHeight="1">
      <c r="A26" s="89" t="s">
        <v>155</v>
      </c>
      <c r="B26" s="108" t="s">
        <v>67</v>
      </c>
      <c r="C26" s="104" t="s">
        <v>105</v>
      </c>
      <c r="D26" s="102" t="s">
        <v>153</v>
      </c>
      <c r="E26" s="109">
        <v>6</v>
      </c>
      <c r="F26" s="102" t="s">
        <v>156</v>
      </c>
      <c r="G26" s="33" t="s">
        <v>70</v>
      </c>
      <c r="P26" s="52" t="s">
        <v>71</v>
      </c>
      <c r="Q26" s="52" t="s">
        <v>71</v>
      </c>
    </row>
    <row r="27" spans="1:18" ht="37.5" customHeight="1">
      <c r="A27" s="91" t="s">
        <v>86</v>
      </c>
      <c r="B27" s="111" t="s">
        <v>87</v>
      </c>
      <c r="C27" s="112" t="s">
        <v>144</v>
      </c>
      <c r="D27" s="112" t="s">
        <v>157</v>
      </c>
      <c r="E27" s="113">
        <v>15</v>
      </c>
      <c r="F27" s="114" t="s">
        <v>158</v>
      </c>
      <c r="G27" s="33" t="s">
        <v>70</v>
      </c>
      <c r="Q27" s="52" t="s">
        <v>71</v>
      </c>
    </row>
    <row r="28" spans="1:18" ht="39.75" customHeight="1">
      <c r="A28" s="92" t="s">
        <v>159</v>
      </c>
      <c r="B28" s="115" t="s">
        <v>136</v>
      </c>
      <c r="C28" s="92" t="s">
        <v>111</v>
      </c>
      <c r="D28" s="92" t="s">
        <v>160</v>
      </c>
      <c r="E28" s="116">
        <v>2</v>
      </c>
      <c r="F28" s="117" t="s">
        <v>161</v>
      </c>
      <c r="G28" s="33" t="s">
        <v>70</v>
      </c>
    </row>
    <row r="29" spans="1:18" ht="42" customHeight="1">
      <c r="A29" s="93" t="s">
        <v>162</v>
      </c>
      <c r="B29" s="118" t="s">
        <v>147</v>
      </c>
      <c r="C29" s="119" t="s">
        <v>160</v>
      </c>
      <c r="D29" s="93" t="s">
        <v>163</v>
      </c>
      <c r="E29" s="120">
        <v>45</v>
      </c>
      <c r="F29" s="119" t="s">
        <v>164</v>
      </c>
      <c r="G29" s="33" t="s">
        <v>79</v>
      </c>
    </row>
    <row r="30" spans="1:18" ht="27" customHeight="1">
      <c r="A30" s="94" t="s">
        <v>165</v>
      </c>
      <c r="B30" s="121" t="s">
        <v>166</v>
      </c>
      <c r="C30" s="121">
        <v>45287</v>
      </c>
      <c r="D30" s="122" t="s">
        <v>167</v>
      </c>
      <c r="E30" s="123">
        <v>7</v>
      </c>
      <c r="F30" s="124" t="s">
        <v>168</v>
      </c>
      <c r="G30" s="33" t="s">
        <v>79</v>
      </c>
    </row>
    <row r="31" spans="1:18" ht="27" customHeight="1">
      <c r="A31" s="95" t="s">
        <v>169</v>
      </c>
      <c r="B31" s="125" t="s">
        <v>100</v>
      </c>
      <c r="C31" s="95" t="s">
        <v>170</v>
      </c>
      <c r="D31" s="126">
        <v>45252</v>
      </c>
      <c r="E31" s="127">
        <v>7</v>
      </c>
      <c r="F31" s="128" t="s">
        <v>171</v>
      </c>
      <c r="G31" s="33" t="s">
        <v>79</v>
      </c>
    </row>
    <row r="32" spans="1:18" ht="27" customHeight="1">
      <c r="A32" s="96" t="s">
        <v>76</v>
      </c>
      <c r="B32" s="125" t="s">
        <v>18</v>
      </c>
      <c r="C32" s="95" t="s">
        <v>172</v>
      </c>
      <c r="D32" s="129" t="s">
        <v>173</v>
      </c>
      <c r="E32" s="127">
        <v>11</v>
      </c>
      <c r="F32" s="128" t="s">
        <v>174</v>
      </c>
      <c r="G32" s="33" t="s">
        <v>79</v>
      </c>
    </row>
    <row r="33" spans="1:7" ht="27" customHeight="1">
      <c r="A33" s="96" t="s">
        <v>162</v>
      </c>
      <c r="B33" s="125"/>
      <c r="C33" s="129" t="s">
        <v>175</v>
      </c>
      <c r="D33" s="95" t="s">
        <v>176</v>
      </c>
      <c r="E33" s="127">
        <v>2</v>
      </c>
      <c r="F33" s="128" t="s">
        <v>177</v>
      </c>
      <c r="G33" s="33" t="s">
        <v>79</v>
      </c>
    </row>
    <row r="34" spans="1:7" ht="27" customHeight="1">
      <c r="A34" s="96" t="s">
        <v>178</v>
      </c>
      <c r="B34" s="125" t="s">
        <v>179</v>
      </c>
      <c r="C34" s="95" t="s">
        <v>180</v>
      </c>
      <c r="D34" s="95" t="s">
        <v>181</v>
      </c>
      <c r="E34" s="127">
        <v>6</v>
      </c>
      <c r="F34" s="128" t="s">
        <v>182</v>
      </c>
      <c r="G34" s="33" t="s">
        <v>79</v>
      </c>
    </row>
    <row r="35" spans="1:7" ht="13.9">
      <c r="A35" s="96" t="s">
        <v>183</v>
      </c>
      <c r="B35" s="65" t="s">
        <v>100</v>
      </c>
      <c r="C35" s="95" t="s">
        <v>184</v>
      </c>
      <c r="D35" s="95" t="s">
        <v>185</v>
      </c>
      <c r="E35" s="87">
        <v>10</v>
      </c>
      <c r="F35" s="128" t="s">
        <v>186</v>
      </c>
      <c r="G35" s="33" t="s">
        <v>79</v>
      </c>
    </row>
    <row r="36" spans="1:7" ht="27" customHeight="1">
      <c r="A36" s="66"/>
      <c r="B36" s="67"/>
      <c r="C36" s="67"/>
      <c r="D36" s="67"/>
      <c r="E36" s="68"/>
      <c r="F36" s="69"/>
      <c r="G36" s="24"/>
    </row>
    <row r="37" spans="1:7" ht="27" customHeight="1">
      <c r="A37" s="70"/>
      <c r="B37" s="71"/>
      <c r="C37" s="71"/>
      <c r="D37" s="71"/>
      <c r="E37" s="72"/>
      <c r="F37" s="73"/>
      <c r="G37" s="24"/>
    </row>
    <row r="38" spans="1:7" ht="27" customHeight="1">
      <c r="A38" s="58"/>
      <c r="B38" s="59"/>
      <c r="C38" s="59"/>
      <c r="D38" s="59"/>
      <c r="E38" s="60"/>
      <c r="F38" s="61"/>
      <c r="G38" s="24"/>
    </row>
    <row r="39" spans="1:7" ht="27" customHeight="1">
      <c r="A39" s="54"/>
    </row>
    <row r="40" spans="1:7" ht="27" customHeight="1">
      <c r="A40" s="58"/>
      <c r="B40" s="59"/>
      <c r="C40" s="59"/>
      <c r="D40" s="59"/>
      <c r="E40" s="60"/>
      <c r="F40" s="61"/>
      <c r="G40" s="24"/>
    </row>
    <row r="41" spans="1:7" ht="27" customHeight="1">
      <c r="A41" s="58"/>
      <c r="B41" s="59"/>
      <c r="C41" s="59"/>
      <c r="D41" s="62"/>
      <c r="E41" s="60"/>
      <c r="F41" s="61"/>
      <c r="G41" s="24"/>
    </row>
    <row r="42" spans="1:7" ht="27" customHeight="1">
      <c r="A42" s="58"/>
      <c r="B42" s="59"/>
      <c r="C42" s="59"/>
      <c r="D42" s="59"/>
      <c r="E42" s="60"/>
      <c r="F42" s="61"/>
      <c r="G42" s="24"/>
    </row>
    <row r="43" spans="1:7" ht="27" customHeight="1">
      <c r="A43" s="54"/>
    </row>
    <row r="44" spans="1:7" ht="27" customHeight="1">
      <c r="A44" s="58"/>
      <c r="B44" s="59"/>
      <c r="C44" s="59"/>
      <c r="D44" s="62"/>
      <c r="E44" s="60"/>
      <c r="F44" s="61"/>
      <c r="G44" s="24"/>
    </row>
    <row r="45" spans="1:7" ht="27" customHeight="1">
      <c r="A45" s="58"/>
      <c r="B45" s="59"/>
      <c r="C45" s="59"/>
      <c r="D45" s="62"/>
      <c r="E45" s="60"/>
      <c r="F45" s="61"/>
      <c r="G45" s="24"/>
    </row>
    <row r="46" spans="1:7" ht="27" customHeight="1">
      <c r="A46" s="63"/>
      <c r="B46" s="55"/>
      <c r="C46" s="55"/>
      <c r="D46" s="55"/>
      <c r="E46" s="56"/>
      <c r="F46" s="57"/>
    </row>
    <row r="47" spans="1:7" ht="27" customHeight="1">
      <c r="A47" s="58"/>
      <c r="B47" s="59"/>
      <c r="C47" s="59"/>
      <c r="D47" s="59"/>
      <c r="E47" s="60"/>
      <c r="F47" s="61"/>
      <c r="G47" s="24"/>
    </row>
    <row r="48" spans="1:7" ht="27" customHeight="1">
      <c r="A48" s="58"/>
      <c r="B48" s="59"/>
      <c r="C48" s="59"/>
      <c r="D48" s="59"/>
      <c r="E48" s="60"/>
      <c r="F48" s="61"/>
      <c r="G48" s="24"/>
    </row>
    <row r="49" spans="1:33" ht="27" customHeight="1">
      <c r="A49" s="58"/>
      <c r="B49" s="59"/>
      <c r="C49" s="59"/>
      <c r="D49" s="59"/>
      <c r="E49" s="60"/>
      <c r="F49" s="61"/>
      <c r="G49" s="24"/>
    </row>
    <row r="50" spans="1:33" ht="27" customHeight="1">
      <c r="A50" s="58"/>
      <c r="B50" s="59"/>
      <c r="C50" s="59"/>
      <c r="D50" s="59"/>
      <c r="E50" s="60"/>
      <c r="F50" s="61"/>
      <c r="G50" s="24"/>
    </row>
    <row r="51" spans="1:33" ht="27" customHeight="1">
      <c r="A51" s="63"/>
      <c r="B51" s="55"/>
      <c r="C51" s="55"/>
      <c r="D51" s="55"/>
      <c r="E51" s="56"/>
      <c r="F51" s="57"/>
    </row>
    <row r="52" spans="1:33" ht="27" customHeight="1">
      <c r="A52" s="58"/>
      <c r="B52" s="62"/>
      <c r="C52" s="59"/>
      <c r="D52" s="59"/>
      <c r="E52" s="60"/>
      <c r="F52" s="61"/>
      <c r="G52" s="24"/>
    </row>
    <row r="53" spans="1:33" ht="27" customHeight="1">
      <c r="A53" s="63"/>
      <c r="B53" s="55"/>
      <c r="C53" s="55"/>
      <c r="D53" s="55"/>
      <c r="E53" s="56"/>
      <c r="F53" s="57"/>
    </row>
    <row r="54" spans="1:33" ht="27" customHeight="1">
      <c r="A54" s="58"/>
      <c r="B54" s="62"/>
      <c r="C54" s="59"/>
      <c r="D54" s="59"/>
      <c r="E54" s="60"/>
      <c r="F54" s="61"/>
      <c r="G54" s="24"/>
    </row>
    <row r="55" spans="1:33" ht="27" customHeight="1">
      <c r="A55" s="63"/>
      <c r="B55" s="55"/>
      <c r="C55" s="55"/>
      <c r="D55" s="55"/>
      <c r="E55" s="56"/>
      <c r="F55" s="57"/>
    </row>
    <row r="56" spans="1:33" ht="27" customHeight="1">
      <c r="A56" s="58"/>
      <c r="B56" s="62"/>
      <c r="C56" s="59"/>
      <c r="D56" s="59"/>
      <c r="E56" s="60"/>
      <c r="F56" s="61"/>
      <c r="G56" s="24"/>
    </row>
    <row r="57" spans="1:33" ht="27" customHeight="1">
      <c r="A57" s="63"/>
      <c r="B57" s="55"/>
      <c r="C57" s="55"/>
      <c r="D57" s="55"/>
      <c r="E57" s="56"/>
      <c r="F57" s="57"/>
    </row>
    <row r="58" spans="1:33" ht="27" customHeight="1">
      <c r="A58" s="58"/>
      <c r="B58" s="59"/>
      <c r="C58" s="59"/>
      <c r="D58" s="59"/>
      <c r="E58" s="60"/>
      <c r="F58" s="61"/>
      <c r="G58" s="24"/>
    </row>
    <row r="59" spans="1:33" ht="27" customHeight="1">
      <c r="A59" s="58"/>
      <c r="B59" s="62"/>
      <c r="C59" s="59"/>
      <c r="D59" s="59"/>
      <c r="E59" s="60"/>
      <c r="F59" s="61"/>
      <c r="G59" s="24"/>
    </row>
    <row r="60" spans="1:33" ht="27" customHeight="1">
      <c r="A60" s="63"/>
      <c r="B60" s="55"/>
      <c r="C60" s="55"/>
      <c r="D60" s="55"/>
      <c r="E60" s="56"/>
      <c r="F60" s="57"/>
    </row>
    <row r="61" spans="1:33" ht="27" customHeight="1">
      <c r="A61" s="58"/>
      <c r="B61" s="62"/>
      <c r="C61" s="59"/>
      <c r="D61" s="59"/>
      <c r="E61" s="60"/>
      <c r="F61" s="61"/>
      <c r="G61" s="24" t="s">
        <v>187</v>
      </c>
      <c r="AC61">
        <v>3</v>
      </c>
      <c r="AD61">
        <v>18</v>
      </c>
    </row>
    <row r="62" spans="1:33" ht="27" customHeight="1">
      <c r="A62" s="63"/>
      <c r="B62" s="55"/>
      <c r="C62" s="55"/>
      <c r="D62" s="64"/>
      <c r="E62" s="56"/>
      <c r="F62" s="57"/>
    </row>
    <row r="63" spans="1:33" ht="27" customHeight="1">
      <c r="A63" s="58"/>
      <c r="B63" s="59"/>
      <c r="C63" s="59"/>
      <c r="D63" s="59"/>
      <c r="E63" s="60"/>
      <c r="F63" s="61"/>
      <c r="G63" s="24" t="s">
        <v>188</v>
      </c>
      <c r="AE63">
        <v>0</v>
      </c>
      <c r="AF63">
        <v>0</v>
      </c>
      <c r="AG63">
        <v>0</v>
      </c>
    </row>
    <row r="64" spans="1:33" ht="27" customHeight="1">
      <c r="A64" s="63"/>
      <c r="B64" s="55"/>
      <c r="C64" s="55"/>
      <c r="D64" s="55"/>
      <c r="E64" s="56"/>
      <c r="F64" s="57"/>
    </row>
    <row r="65" spans="1:45" ht="27" customHeight="1">
      <c r="A65" s="58"/>
      <c r="B65" s="62"/>
      <c r="C65" s="59"/>
      <c r="D65" s="59"/>
      <c r="E65" s="60"/>
      <c r="F65" s="61"/>
      <c r="G65" s="24" t="s">
        <v>188</v>
      </c>
      <c r="AF65">
        <v>1</v>
      </c>
    </row>
    <row r="66" spans="1:45" ht="27" customHeight="1">
      <c r="A66" s="58"/>
      <c r="B66" s="62"/>
      <c r="C66" s="59"/>
      <c r="D66" s="59"/>
      <c r="E66" s="60"/>
      <c r="F66" s="61"/>
      <c r="G66" s="24" t="s">
        <v>188</v>
      </c>
      <c r="AF66">
        <v>1</v>
      </c>
    </row>
    <row r="67" spans="1:45" ht="27" customHeight="1">
      <c r="A67" s="58"/>
      <c r="B67" s="62"/>
      <c r="C67" s="59"/>
      <c r="D67" s="59"/>
      <c r="E67" s="60"/>
      <c r="F67" s="61"/>
      <c r="G67" s="24" t="s">
        <v>188</v>
      </c>
      <c r="AF67">
        <v>3</v>
      </c>
    </row>
    <row r="68" spans="1:45" ht="27" customHeight="1">
      <c r="A68" s="63"/>
      <c r="B68" s="55"/>
      <c r="C68" s="55"/>
      <c r="D68" s="64"/>
      <c r="E68" s="56"/>
      <c r="F68" s="57"/>
    </row>
    <row r="69" spans="1:45" ht="27" customHeight="1">
      <c r="A69" s="58"/>
      <c r="B69" s="59"/>
      <c r="C69" s="59"/>
      <c r="D69" s="62"/>
      <c r="E69" s="60"/>
      <c r="F69" s="61"/>
      <c r="G69" s="24" t="s">
        <v>188</v>
      </c>
      <c r="AG69">
        <v>1</v>
      </c>
    </row>
    <row r="70" spans="1:45" ht="27" customHeight="1">
      <c r="A70" s="63"/>
      <c r="B70" s="55"/>
      <c r="C70" s="55"/>
      <c r="D70" s="55"/>
      <c r="E70" s="56"/>
      <c r="F70" s="57"/>
    </row>
    <row r="71" spans="1:45" ht="27" customHeight="1">
      <c r="A71" s="58"/>
      <c r="B71" s="62"/>
      <c r="C71" s="59"/>
      <c r="D71" s="59"/>
      <c r="E71" s="60"/>
      <c r="F71" s="61"/>
      <c r="G71" s="24" t="s">
        <v>188</v>
      </c>
      <c r="AI71">
        <v>14</v>
      </c>
      <c r="AJ71">
        <v>31</v>
      </c>
      <c r="AK71">
        <v>25</v>
      </c>
    </row>
    <row r="72" spans="1:45" ht="27" customHeight="1">
      <c r="A72" s="63"/>
      <c r="B72" s="55"/>
      <c r="C72" s="55"/>
      <c r="D72" s="55"/>
      <c r="E72" s="56"/>
      <c r="F72" s="57"/>
    </row>
    <row r="73" spans="1:45" ht="27" customHeight="1">
      <c r="A73" s="58"/>
      <c r="B73" s="62"/>
      <c r="C73" s="59"/>
      <c r="D73" s="59"/>
      <c r="E73" s="60"/>
      <c r="F73" s="61"/>
      <c r="G73" s="24" t="s">
        <v>188</v>
      </c>
      <c r="AJ73">
        <v>10</v>
      </c>
      <c r="AK73">
        <v>30</v>
      </c>
      <c r="AL73">
        <v>31</v>
      </c>
      <c r="AM73">
        <v>8</v>
      </c>
    </row>
    <row r="74" spans="1:45" ht="27" customHeight="1">
      <c r="A74" s="58"/>
      <c r="B74" s="62"/>
      <c r="C74" s="59"/>
      <c r="D74" s="59"/>
      <c r="E74" s="60"/>
      <c r="F74" s="61"/>
      <c r="G74" s="24" t="s">
        <v>188</v>
      </c>
      <c r="AJ74">
        <v>6</v>
      </c>
    </row>
    <row r="76" spans="1:45" ht="27" customHeight="1">
      <c r="H76" s="36">
        <f>SUM(H4:H74)</f>
        <v>0</v>
      </c>
      <c r="I76" s="36">
        <f t="shared" ref="I76:AS76" si="0">SUM(I4:I74)</f>
        <v>0</v>
      </c>
      <c r="J76" s="36">
        <f t="shared" si="0"/>
        <v>0</v>
      </c>
      <c r="K76" s="36">
        <f t="shared" si="0"/>
        <v>0</v>
      </c>
      <c r="L76" s="36">
        <f t="shared" si="0"/>
        <v>0</v>
      </c>
      <c r="M76" s="36">
        <f t="shared" si="0"/>
        <v>0</v>
      </c>
      <c r="N76" s="36">
        <f t="shared" si="0"/>
        <v>0</v>
      </c>
      <c r="O76" s="36">
        <f t="shared" si="0"/>
        <v>0</v>
      </c>
      <c r="P76" s="36">
        <f t="shared" si="0"/>
        <v>0</v>
      </c>
      <c r="Q76" s="36">
        <f t="shared" si="0"/>
        <v>0</v>
      </c>
      <c r="R76" s="36">
        <f t="shared" si="0"/>
        <v>0</v>
      </c>
      <c r="S76" s="36">
        <f t="shared" si="0"/>
        <v>0</v>
      </c>
      <c r="T76" s="36">
        <f t="shared" si="0"/>
        <v>0</v>
      </c>
      <c r="U76" s="36">
        <f t="shared" si="0"/>
        <v>0</v>
      </c>
      <c r="V76" s="36">
        <f t="shared" si="0"/>
        <v>0</v>
      </c>
      <c r="W76" s="36">
        <f t="shared" si="0"/>
        <v>0</v>
      </c>
      <c r="X76" s="36">
        <f t="shared" si="0"/>
        <v>0</v>
      </c>
      <c r="Y76" s="36">
        <f t="shared" si="0"/>
        <v>0</v>
      </c>
      <c r="Z76" s="36">
        <f t="shared" si="0"/>
        <v>0</v>
      </c>
      <c r="AA76" s="36">
        <f t="shared" si="0"/>
        <v>0</v>
      </c>
      <c r="AB76" s="36">
        <f t="shared" si="0"/>
        <v>0</v>
      </c>
      <c r="AC76" s="36">
        <f t="shared" si="0"/>
        <v>3</v>
      </c>
      <c r="AD76" s="36">
        <f t="shared" si="0"/>
        <v>18</v>
      </c>
      <c r="AE76" s="36">
        <f t="shared" si="0"/>
        <v>0</v>
      </c>
      <c r="AF76" s="36">
        <f t="shared" si="0"/>
        <v>5</v>
      </c>
      <c r="AG76" s="36">
        <f t="shared" si="0"/>
        <v>1</v>
      </c>
      <c r="AH76" s="36">
        <f t="shared" si="0"/>
        <v>0</v>
      </c>
      <c r="AI76" s="36">
        <f t="shared" si="0"/>
        <v>14</v>
      </c>
      <c r="AJ76" s="36">
        <f t="shared" si="0"/>
        <v>47</v>
      </c>
      <c r="AK76" s="36">
        <f t="shared" si="0"/>
        <v>55</v>
      </c>
      <c r="AL76" s="36">
        <f t="shared" si="0"/>
        <v>31</v>
      </c>
      <c r="AM76" s="36">
        <f t="shared" si="0"/>
        <v>8</v>
      </c>
      <c r="AN76" s="36">
        <f t="shared" si="0"/>
        <v>0</v>
      </c>
      <c r="AO76" s="36">
        <f t="shared" si="0"/>
        <v>0</v>
      </c>
      <c r="AP76" s="36">
        <f t="shared" si="0"/>
        <v>0</v>
      </c>
      <c r="AQ76" s="36">
        <f t="shared" si="0"/>
        <v>0</v>
      </c>
      <c r="AR76" s="36">
        <f t="shared" si="0"/>
        <v>0</v>
      </c>
      <c r="AS76" s="36">
        <f t="shared" si="0"/>
        <v>0</v>
      </c>
    </row>
  </sheetData>
  <autoFilter ref="A2:AY2" xr:uid="{00000000-0009-0000-0000-000010000000}"/>
  <pageMargins left="0.70866141732283472" right="0.70866141732283472" top="0.74803149606299213" bottom="0.74803149606299213" header="0.31496062992125984" footer="0.31496062992125984"/>
  <pageSetup paperSize="9" scale="36" fitToWidth="0"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6EC86-7E8C-48F4-B5B7-ECF23A171500}">
  <sheetPr>
    <tabColor rgb="FFFF0000"/>
    <pageSetUpPr fitToPage="1"/>
  </sheetPr>
  <dimension ref="A1:T23"/>
  <sheetViews>
    <sheetView showGridLines="0" workbookViewId="0">
      <selection activeCell="O21" sqref="O21"/>
    </sheetView>
  </sheetViews>
  <sheetFormatPr defaultColWidth="11.42578125" defaultRowHeight="27" customHeight="1"/>
  <cols>
    <col min="1" max="1" width="36.5703125" bestFit="1" customWidth="1"/>
    <col min="2" max="2" width="12.85546875" customWidth="1"/>
    <col min="3" max="3" width="12.7109375" customWidth="1"/>
    <col min="4" max="4" width="11" bestFit="1" customWidth="1"/>
    <col min="5" max="5" width="11.28515625" customWidth="1"/>
    <col min="6" max="6" width="55.28515625" customWidth="1"/>
    <col min="7" max="7" width="31.28515625" customWidth="1"/>
    <col min="8" max="8" width="12.5703125" style="2" bestFit="1" customWidth="1"/>
    <col min="9" max="9" width="14" customWidth="1"/>
    <col min="10" max="10" width="9.5703125" bestFit="1" customWidth="1"/>
    <col min="11" max="11" width="10.28515625" bestFit="1" customWidth="1"/>
    <col min="12" max="12" width="9.5703125" bestFit="1" customWidth="1"/>
    <col min="13" max="13" width="10.5703125" bestFit="1" customWidth="1"/>
    <col min="14" max="14" width="9.42578125" bestFit="1" customWidth="1"/>
    <col min="15" max="15" width="8.7109375" bestFit="1" customWidth="1"/>
    <col min="16" max="16" width="10.140625" bestFit="1" customWidth="1"/>
    <col min="17" max="17" width="10" bestFit="1" customWidth="1"/>
    <col min="18" max="18" width="9.42578125" bestFit="1" customWidth="1"/>
    <col min="19" max="19" width="10" bestFit="1" customWidth="1"/>
    <col min="20" max="20" width="9.28515625" bestFit="1" customWidth="1"/>
  </cols>
  <sheetData>
    <row r="1" spans="1:20" ht="27" customHeight="1">
      <c r="A1" s="29"/>
      <c r="B1" s="30"/>
      <c r="C1" s="30"/>
      <c r="D1" s="30"/>
      <c r="E1" s="30"/>
      <c r="F1" s="30"/>
      <c r="G1" s="30"/>
    </row>
    <row r="2" spans="1:20" ht="13.15">
      <c r="A2" s="158" t="s">
        <v>59</v>
      </c>
      <c r="B2" s="159" t="s">
        <v>60</v>
      </c>
      <c r="C2" s="160" t="s">
        <v>61</v>
      </c>
      <c r="D2" s="160" t="s">
        <v>62</v>
      </c>
      <c r="E2" s="160" t="s">
        <v>63</v>
      </c>
      <c r="F2" s="160" t="s">
        <v>64</v>
      </c>
      <c r="G2" s="160" t="s">
        <v>189</v>
      </c>
      <c r="H2" s="160" t="s">
        <v>65</v>
      </c>
      <c r="I2" s="161" t="s">
        <v>190</v>
      </c>
      <c r="J2" s="161" t="s">
        <v>191</v>
      </c>
      <c r="K2" s="161" t="s">
        <v>192</v>
      </c>
      <c r="L2" s="161" t="s">
        <v>193</v>
      </c>
      <c r="M2" s="161" t="s">
        <v>194</v>
      </c>
      <c r="N2" s="161" t="s">
        <v>195</v>
      </c>
      <c r="O2" s="161" t="s">
        <v>196</v>
      </c>
      <c r="P2" s="161" t="s">
        <v>197</v>
      </c>
      <c r="Q2" s="161" t="s">
        <v>198</v>
      </c>
      <c r="R2" s="161" t="s">
        <v>199</v>
      </c>
      <c r="S2" s="161" t="s">
        <v>200</v>
      </c>
      <c r="T2" s="163" t="s">
        <v>201</v>
      </c>
    </row>
    <row r="3" spans="1:20" s="33" customFormat="1" ht="60" customHeight="1">
      <c r="A3" s="180" t="s">
        <v>202</v>
      </c>
      <c r="B3" s="167" t="s">
        <v>18</v>
      </c>
      <c r="C3" s="168">
        <v>45292</v>
      </c>
      <c r="D3" s="165">
        <v>45301</v>
      </c>
      <c r="E3" s="164">
        <v>10</v>
      </c>
      <c r="F3" s="153" t="s">
        <v>203</v>
      </c>
      <c r="G3" s="156" t="s">
        <v>204</v>
      </c>
      <c r="H3" s="171" t="s">
        <v>70</v>
      </c>
      <c r="I3" s="171" t="s">
        <v>205</v>
      </c>
      <c r="J3" s="171"/>
      <c r="K3" s="171"/>
      <c r="L3" s="171"/>
      <c r="M3" s="171"/>
      <c r="N3" s="171"/>
      <c r="O3" s="171"/>
      <c r="P3" s="171"/>
      <c r="Q3" s="171"/>
      <c r="R3" s="171"/>
      <c r="S3" s="171"/>
      <c r="T3" s="199"/>
    </row>
    <row r="4" spans="1:20" s="33" customFormat="1" ht="60" customHeight="1">
      <c r="A4" s="180" t="s">
        <v>206</v>
      </c>
      <c r="B4" s="164" t="s">
        <v>31</v>
      </c>
      <c r="C4" s="165">
        <v>45294</v>
      </c>
      <c r="D4" s="165">
        <v>45358</v>
      </c>
      <c r="E4" s="167">
        <v>5</v>
      </c>
      <c r="F4" s="155" t="s">
        <v>207</v>
      </c>
      <c r="G4" s="162" t="s">
        <v>208</v>
      </c>
      <c r="H4" s="171" t="s">
        <v>70</v>
      </c>
      <c r="I4" s="171" t="s">
        <v>205</v>
      </c>
      <c r="J4" s="171" t="s">
        <v>205</v>
      </c>
      <c r="K4" s="171" t="s">
        <v>205</v>
      </c>
      <c r="L4" s="171"/>
      <c r="M4" s="171"/>
      <c r="N4" s="171"/>
      <c r="O4" s="171"/>
      <c r="P4" s="171"/>
      <c r="Q4" s="171"/>
      <c r="R4" s="171"/>
      <c r="S4" s="171"/>
      <c r="T4" s="199"/>
    </row>
    <row r="5" spans="1:20" s="33" customFormat="1" ht="60" customHeight="1">
      <c r="A5" s="180" t="s">
        <v>209</v>
      </c>
      <c r="B5" s="164" t="s">
        <v>15</v>
      </c>
      <c r="C5" s="195">
        <v>45300</v>
      </c>
      <c r="D5" s="165">
        <v>45302</v>
      </c>
      <c r="E5" s="167">
        <v>3</v>
      </c>
      <c r="F5" s="155" t="s">
        <v>210</v>
      </c>
      <c r="G5" s="162" t="s">
        <v>211</v>
      </c>
      <c r="H5" s="171" t="s">
        <v>70</v>
      </c>
      <c r="I5" s="171" t="s">
        <v>205</v>
      </c>
      <c r="J5" s="171"/>
      <c r="K5" s="171"/>
      <c r="L5" s="171"/>
      <c r="M5" s="171"/>
      <c r="N5" s="171"/>
      <c r="O5" s="171"/>
      <c r="P5" s="171"/>
      <c r="Q5" s="171"/>
      <c r="R5" s="171"/>
      <c r="S5" s="171"/>
      <c r="T5" s="199"/>
    </row>
    <row r="6" spans="1:20" ht="60" customHeight="1">
      <c r="A6" s="180" t="s">
        <v>212</v>
      </c>
      <c r="B6" s="167" t="s">
        <v>31</v>
      </c>
      <c r="C6" s="168">
        <v>45313</v>
      </c>
      <c r="D6" s="169">
        <v>45315</v>
      </c>
      <c r="E6" s="167">
        <v>2</v>
      </c>
      <c r="F6" s="155" t="s">
        <v>213</v>
      </c>
      <c r="G6" s="157" t="s">
        <v>214</v>
      </c>
      <c r="H6" s="171" t="s">
        <v>70</v>
      </c>
      <c r="I6" s="171"/>
      <c r="J6" s="171" t="s">
        <v>205</v>
      </c>
      <c r="K6" s="171"/>
      <c r="L6" s="171"/>
      <c r="M6" s="171"/>
      <c r="N6" s="171"/>
      <c r="O6" s="171"/>
      <c r="P6" s="171"/>
      <c r="Q6" s="171"/>
      <c r="R6" s="171"/>
      <c r="S6" s="171"/>
      <c r="T6" s="199"/>
    </row>
    <row r="7" spans="1:20" ht="60" customHeight="1">
      <c r="A7" s="181" t="s">
        <v>215</v>
      </c>
      <c r="B7" s="167" t="s">
        <v>216</v>
      </c>
      <c r="C7" s="165">
        <v>45318</v>
      </c>
      <c r="D7" s="169">
        <v>45324</v>
      </c>
      <c r="E7" s="167">
        <v>6</v>
      </c>
      <c r="F7" s="152" t="s">
        <v>217</v>
      </c>
      <c r="G7" s="156" t="s">
        <v>218</v>
      </c>
      <c r="H7" s="171" t="s">
        <v>70</v>
      </c>
      <c r="I7" s="171" t="s">
        <v>205</v>
      </c>
      <c r="J7" s="171" t="s">
        <v>205</v>
      </c>
      <c r="K7" s="171"/>
      <c r="L7" s="171"/>
      <c r="M7" s="171"/>
      <c r="N7" s="171"/>
      <c r="O7" s="171"/>
      <c r="P7" s="171"/>
      <c r="Q7" s="171"/>
      <c r="R7" s="171"/>
      <c r="S7" s="171"/>
      <c r="T7" s="199"/>
    </row>
    <row r="8" spans="1:20" ht="60" customHeight="1">
      <c r="A8" s="180" t="s">
        <v>219</v>
      </c>
      <c r="B8" s="167" t="s">
        <v>15</v>
      </c>
      <c r="C8" s="168">
        <v>45341</v>
      </c>
      <c r="D8" s="169">
        <v>45344</v>
      </c>
      <c r="E8" s="167">
        <v>4</v>
      </c>
      <c r="F8" s="154" t="s">
        <v>220</v>
      </c>
      <c r="G8" s="156" t="s">
        <v>221</v>
      </c>
      <c r="H8" s="171" t="s">
        <v>70</v>
      </c>
      <c r="I8" s="171"/>
      <c r="J8" s="171" t="s">
        <v>205</v>
      </c>
      <c r="K8" s="171"/>
      <c r="L8" s="171"/>
      <c r="M8" s="171"/>
      <c r="N8" s="171"/>
      <c r="O8" s="171"/>
      <c r="P8" s="171"/>
      <c r="Q8" s="171"/>
      <c r="R8" s="171"/>
      <c r="S8" s="171"/>
      <c r="T8" s="199"/>
    </row>
    <row r="9" spans="1:20" ht="60" customHeight="1">
      <c r="A9" s="182" t="s">
        <v>222</v>
      </c>
      <c r="B9" s="167" t="s">
        <v>31</v>
      </c>
      <c r="C9" s="168">
        <v>45344</v>
      </c>
      <c r="D9" s="169">
        <v>45364</v>
      </c>
      <c r="E9" s="167">
        <v>21</v>
      </c>
      <c r="F9" s="154" t="s">
        <v>223</v>
      </c>
      <c r="G9" s="156" t="s">
        <v>224</v>
      </c>
      <c r="H9" s="171" t="s">
        <v>70</v>
      </c>
      <c r="I9" s="171"/>
      <c r="J9" s="171" t="s">
        <v>205</v>
      </c>
      <c r="K9" s="171" t="s">
        <v>205</v>
      </c>
      <c r="L9" s="171"/>
      <c r="M9" s="171"/>
      <c r="N9" s="171"/>
      <c r="O9" s="171"/>
      <c r="P9" s="171"/>
      <c r="Q9" s="171"/>
      <c r="R9" s="171"/>
      <c r="S9" s="171"/>
      <c r="T9" s="199"/>
    </row>
    <row r="10" spans="1:20" ht="60" customHeight="1">
      <c r="A10" s="180" t="s">
        <v>225</v>
      </c>
      <c r="B10" s="167" t="s">
        <v>27</v>
      </c>
      <c r="C10" s="165">
        <v>45369</v>
      </c>
      <c r="D10" s="169">
        <v>45376</v>
      </c>
      <c r="E10" s="167">
        <v>8</v>
      </c>
      <c r="F10" s="154" t="s">
        <v>226</v>
      </c>
      <c r="G10" s="156" t="s">
        <v>227</v>
      </c>
      <c r="H10" s="171" t="s">
        <v>70</v>
      </c>
      <c r="I10" s="171"/>
      <c r="J10" s="171"/>
      <c r="K10" s="171" t="s">
        <v>205</v>
      </c>
      <c r="L10" s="171"/>
      <c r="M10" s="171"/>
      <c r="N10" s="171"/>
      <c r="O10" s="171"/>
      <c r="P10" s="171"/>
      <c r="Q10" s="171"/>
      <c r="R10" s="171"/>
      <c r="S10" s="171"/>
      <c r="T10" s="199"/>
    </row>
    <row r="11" spans="1:20" ht="60" customHeight="1">
      <c r="A11" s="180" t="s">
        <v>228</v>
      </c>
      <c r="B11" s="167" t="s">
        <v>31</v>
      </c>
      <c r="C11" s="168">
        <v>45372</v>
      </c>
      <c r="D11" s="169">
        <v>45385</v>
      </c>
      <c r="E11" s="167">
        <v>14</v>
      </c>
      <c r="F11" s="154" t="s">
        <v>229</v>
      </c>
      <c r="G11" s="156" t="s">
        <v>230</v>
      </c>
      <c r="H11" s="171" t="s">
        <v>70</v>
      </c>
      <c r="I11" s="171"/>
      <c r="J11" s="171"/>
      <c r="K11" s="171" t="s">
        <v>205</v>
      </c>
      <c r="L11" s="171" t="s">
        <v>205</v>
      </c>
      <c r="M11" s="171"/>
      <c r="N11" s="171"/>
      <c r="O11" s="171"/>
      <c r="P11" s="171"/>
      <c r="Q11" s="171"/>
      <c r="R11" s="171"/>
      <c r="S11" s="171"/>
      <c r="T11" s="199"/>
    </row>
    <row r="12" spans="1:20" ht="60" customHeight="1">
      <c r="A12" s="181" t="s">
        <v>231</v>
      </c>
      <c r="B12" s="167" t="s">
        <v>23</v>
      </c>
      <c r="C12" s="169">
        <v>45386</v>
      </c>
      <c r="D12" s="169">
        <v>45404</v>
      </c>
      <c r="E12" s="167">
        <v>18</v>
      </c>
      <c r="F12" s="154" t="s">
        <v>232</v>
      </c>
      <c r="G12" s="156" t="s">
        <v>233</v>
      </c>
      <c r="H12" s="171" t="s">
        <v>70</v>
      </c>
      <c r="I12" s="171"/>
      <c r="J12" s="171"/>
      <c r="K12" s="171"/>
      <c r="L12" s="171" t="s">
        <v>205</v>
      </c>
      <c r="M12" s="171"/>
      <c r="N12" s="171"/>
      <c r="O12" s="171"/>
      <c r="P12" s="171"/>
      <c r="Q12" s="171"/>
      <c r="R12" s="171"/>
      <c r="S12" s="171"/>
      <c r="T12" s="199"/>
    </row>
    <row r="13" spans="1:20" ht="60" customHeight="1">
      <c r="A13" s="180" t="s">
        <v>234</v>
      </c>
      <c r="B13" s="167" t="s">
        <v>22</v>
      </c>
      <c r="C13" s="169">
        <v>45483</v>
      </c>
      <c r="D13" s="169">
        <v>45488</v>
      </c>
      <c r="E13" s="167">
        <v>5</v>
      </c>
      <c r="F13" s="154" t="s">
        <v>235</v>
      </c>
      <c r="G13" s="156" t="s">
        <v>236</v>
      </c>
      <c r="H13" s="171" t="s">
        <v>70</v>
      </c>
      <c r="I13" s="171"/>
      <c r="J13" s="171"/>
      <c r="K13" s="171"/>
      <c r="L13" s="171"/>
      <c r="M13" s="171"/>
      <c r="N13" s="171"/>
      <c r="O13" s="171" t="s">
        <v>205</v>
      </c>
      <c r="P13" s="171"/>
      <c r="Q13" s="171"/>
      <c r="R13" s="171"/>
      <c r="S13" s="171"/>
      <c r="T13" s="199"/>
    </row>
    <row r="14" spans="1:20" ht="60" customHeight="1">
      <c r="A14" s="180" t="s">
        <v>237</v>
      </c>
      <c r="B14" s="167" t="s">
        <v>22</v>
      </c>
      <c r="C14" s="169">
        <v>45483</v>
      </c>
      <c r="D14" s="169">
        <v>45488</v>
      </c>
      <c r="E14" s="167">
        <v>5</v>
      </c>
      <c r="F14" s="154" t="s">
        <v>235</v>
      </c>
      <c r="G14" s="156" t="s">
        <v>238</v>
      </c>
      <c r="H14" s="171" t="s">
        <v>70</v>
      </c>
      <c r="I14" s="171"/>
      <c r="J14" s="171"/>
      <c r="K14" s="171"/>
      <c r="L14" s="171"/>
      <c r="M14" s="171"/>
      <c r="N14" s="171"/>
      <c r="O14" s="171" t="s">
        <v>205</v>
      </c>
      <c r="P14" s="171"/>
      <c r="Q14" s="171"/>
      <c r="R14" s="171"/>
      <c r="S14" s="171"/>
      <c r="T14" s="199"/>
    </row>
    <row r="15" spans="1:20" ht="60" customHeight="1">
      <c r="A15" s="180" t="s">
        <v>239</v>
      </c>
      <c r="B15" s="167" t="s">
        <v>33</v>
      </c>
      <c r="C15" s="169">
        <v>45490</v>
      </c>
      <c r="D15" s="169">
        <v>45499</v>
      </c>
      <c r="E15" s="167">
        <v>9</v>
      </c>
      <c r="F15" s="154" t="s">
        <v>240</v>
      </c>
      <c r="G15" s="156" t="s">
        <v>241</v>
      </c>
      <c r="H15" s="171" t="s">
        <v>70</v>
      </c>
      <c r="I15" s="171"/>
      <c r="J15" s="171"/>
      <c r="K15" s="171"/>
      <c r="L15" s="171"/>
      <c r="M15" s="171"/>
      <c r="N15" s="171"/>
      <c r="O15" s="171" t="s">
        <v>205</v>
      </c>
      <c r="P15" s="171"/>
      <c r="Q15" s="171"/>
      <c r="R15" s="171"/>
      <c r="S15" s="171"/>
      <c r="T15" s="199"/>
    </row>
    <row r="16" spans="1:20" ht="60" customHeight="1">
      <c r="A16" s="183" t="s">
        <v>242</v>
      </c>
      <c r="B16" s="170" t="s">
        <v>33</v>
      </c>
      <c r="C16" s="196">
        <v>45499</v>
      </c>
      <c r="D16" s="196">
        <v>45513</v>
      </c>
      <c r="E16" s="170">
        <v>5</v>
      </c>
      <c r="F16" s="197" t="s">
        <v>243</v>
      </c>
      <c r="G16" s="198" t="s">
        <v>244</v>
      </c>
      <c r="H16" s="171" t="s">
        <v>70</v>
      </c>
      <c r="I16" s="171"/>
      <c r="J16" s="172"/>
      <c r="K16" s="172"/>
      <c r="L16" s="172"/>
      <c r="M16" s="172"/>
      <c r="N16" s="172"/>
      <c r="O16" s="171" t="s">
        <v>205</v>
      </c>
      <c r="P16" s="172"/>
      <c r="Q16" s="172"/>
      <c r="R16" s="172"/>
      <c r="S16" s="172"/>
      <c r="T16" s="200"/>
    </row>
    <row r="17" spans="1:20" ht="60" customHeight="1">
      <c r="A17" s="180" t="s">
        <v>245</v>
      </c>
      <c r="B17" s="167" t="s">
        <v>23</v>
      </c>
      <c r="C17" s="169">
        <v>45511</v>
      </c>
      <c r="D17" s="169">
        <v>45520</v>
      </c>
      <c r="E17" s="167">
        <v>10</v>
      </c>
      <c r="F17" s="154" t="s">
        <v>246</v>
      </c>
      <c r="G17" s="201" t="s">
        <v>247</v>
      </c>
      <c r="H17" s="171" t="s">
        <v>70</v>
      </c>
      <c r="I17" s="171"/>
      <c r="J17" s="171"/>
      <c r="K17" s="171"/>
      <c r="L17" s="171"/>
      <c r="M17" s="171"/>
      <c r="N17" s="171"/>
      <c r="O17" s="171"/>
      <c r="P17" s="171"/>
      <c r="Q17" s="171"/>
      <c r="R17" s="171"/>
      <c r="S17" s="171"/>
      <c r="T17" s="199"/>
    </row>
    <row r="18" spans="1:20" ht="60" customHeight="1">
      <c r="A18" s="180" t="s">
        <v>248</v>
      </c>
      <c r="B18" s="167" t="s">
        <v>33</v>
      </c>
      <c r="C18" s="169">
        <v>45506</v>
      </c>
      <c r="D18" s="169">
        <v>45513</v>
      </c>
      <c r="E18" s="167">
        <v>10</v>
      </c>
      <c r="F18" s="154" t="s">
        <v>249</v>
      </c>
      <c r="G18" s="201" t="s">
        <v>250</v>
      </c>
      <c r="H18" s="171" t="s">
        <v>70</v>
      </c>
      <c r="I18" s="171"/>
      <c r="J18" s="171"/>
      <c r="K18" s="171"/>
      <c r="L18" s="171"/>
      <c r="M18" s="171"/>
      <c r="N18" s="171"/>
      <c r="O18" s="171"/>
      <c r="P18" s="171" t="s">
        <v>71</v>
      </c>
      <c r="Q18" s="171"/>
      <c r="R18" s="171"/>
      <c r="S18" s="171"/>
      <c r="T18" s="199"/>
    </row>
    <row r="19" spans="1:20" ht="60" customHeight="1">
      <c r="A19" s="202" t="s">
        <v>251</v>
      </c>
      <c r="B19" s="167" t="s">
        <v>18</v>
      </c>
      <c r="C19" s="169">
        <v>45508</v>
      </c>
      <c r="D19" s="169">
        <v>45510</v>
      </c>
      <c r="E19" s="167">
        <v>2</v>
      </c>
      <c r="F19" s="154" t="s">
        <v>252</v>
      </c>
      <c r="G19" s="156"/>
      <c r="H19" s="171" t="s">
        <v>70</v>
      </c>
      <c r="I19" s="171"/>
      <c r="J19" s="171"/>
      <c r="K19" s="171"/>
      <c r="L19" s="171"/>
      <c r="M19" s="171"/>
      <c r="N19" s="171"/>
      <c r="O19" s="171"/>
      <c r="P19" s="171"/>
      <c r="Q19" s="171" t="s">
        <v>71</v>
      </c>
      <c r="R19" s="171"/>
      <c r="S19" s="171"/>
      <c r="T19" s="199"/>
    </row>
    <row r="20" spans="1:20" ht="60" customHeight="1">
      <c r="A20" s="180" t="s">
        <v>253</v>
      </c>
      <c r="B20" s="167" t="s">
        <v>254</v>
      </c>
      <c r="C20" s="169">
        <v>45595</v>
      </c>
      <c r="D20" s="169">
        <v>45652</v>
      </c>
      <c r="E20" s="167">
        <v>36</v>
      </c>
      <c r="F20" s="154" t="s">
        <v>255</v>
      </c>
      <c r="G20" s="201" t="s">
        <v>256</v>
      </c>
      <c r="H20" s="171" t="s">
        <v>70</v>
      </c>
      <c r="I20" s="171"/>
      <c r="J20" s="171"/>
      <c r="K20" s="171"/>
      <c r="L20" s="171"/>
      <c r="M20" s="171"/>
      <c r="N20" s="171"/>
      <c r="O20" s="171"/>
      <c r="P20" s="171"/>
      <c r="Q20" s="171"/>
      <c r="R20" s="171" t="s">
        <v>71</v>
      </c>
      <c r="S20" s="171" t="s">
        <v>71</v>
      </c>
      <c r="T20" s="199" t="s">
        <v>71</v>
      </c>
    </row>
    <row r="21" spans="1:20" ht="60" customHeight="1">
      <c r="A21" s="180"/>
      <c r="B21" s="167"/>
      <c r="C21" s="169"/>
      <c r="D21" s="169"/>
      <c r="E21" s="167"/>
      <c r="F21" s="154"/>
      <c r="G21" s="156"/>
      <c r="H21" s="171"/>
      <c r="I21" s="171"/>
      <c r="J21" s="171"/>
      <c r="K21" s="171"/>
      <c r="L21" s="171"/>
      <c r="M21" s="171"/>
      <c r="N21" s="171"/>
      <c r="O21" s="171"/>
      <c r="P21" s="171"/>
      <c r="Q21" s="171"/>
      <c r="R21" s="171"/>
      <c r="S21" s="171"/>
      <c r="T21" s="199"/>
    </row>
    <row r="22" spans="1:20" ht="60" customHeight="1">
      <c r="A22" s="180"/>
      <c r="B22" s="167"/>
      <c r="C22" s="169"/>
      <c r="D22" s="169"/>
      <c r="E22" s="167"/>
      <c r="F22" s="154"/>
      <c r="G22" s="156"/>
      <c r="H22" s="171"/>
      <c r="I22" s="171"/>
      <c r="J22" s="171"/>
      <c r="K22" s="171"/>
      <c r="L22" s="171"/>
      <c r="M22" s="171"/>
      <c r="N22" s="171"/>
      <c r="O22" s="171"/>
      <c r="P22" s="171"/>
      <c r="Q22" s="171"/>
      <c r="R22" s="171"/>
      <c r="S22" s="171"/>
      <c r="T22" s="199"/>
    </row>
    <row r="23" spans="1:20" ht="13.15">
      <c r="A23" s="177" t="s">
        <v>58</v>
      </c>
      <c r="B23" s="178"/>
      <c r="C23" s="179">
        <f>SUBTOTAL(103,C3:C22)</f>
        <v>18</v>
      </c>
      <c r="D23" s="179"/>
      <c r="E23" s="178"/>
      <c r="F23" s="176"/>
      <c r="G23" s="173"/>
      <c r="H23" s="174"/>
      <c r="I23" s="174">
        <f t="shared" ref="I23:T23" si="0">SUBTOTAL(103,I3:I22)</f>
        <v>4</v>
      </c>
      <c r="J23" s="174">
        <f t="shared" si="0"/>
        <v>5</v>
      </c>
      <c r="K23" s="174">
        <f t="shared" si="0"/>
        <v>4</v>
      </c>
      <c r="L23" s="174">
        <f t="shared" si="0"/>
        <v>2</v>
      </c>
      <c r="M23" s="174">
        <f t="shared" si="0"/>
        <v>0</v>
      </c>
      <c r="N23" s="174">
        <f t="shared" si="0"/>
        <v>0</v>
      </c>
      <c r="O23" s="174">
        <f t="shared" si="0"/>
        <v>4</v>
      </c>
      <c r="P23" s="174">
        <f t="shared" si="0"/>
        <v>1</v>
      </c>
      <c r="Q23" s="174">
        <f t="shared" si="0"/>
        <v>1</v>
      </c>
      <c r="R23" s="174">
        <f t="shared" si="0"/>
        <v>1</v>
      </c>
      <c r="S23" s="174">
        <f t="shared" si="0"/>
        <v>1</v>
      </c>
      <c r="T23" s="175">
        <f t="shared" si="0"/>
        <v>1</v>
      </c>
    </row>
  </sheetData>
  <conditionalFormatting sqref="I3:T22">
    <cfRule type="cellIs" dxfId="141" priority="1" operator="equal">
      <formula>"X"</formula>
    </cfRule>
  </conditionalFormatting>
  <hyperlinks>
    <hyperlink ref="G4" r:id="rId1" xr:uid="{174A769E-E655-498F-B440-A1B9A85E8059}"/>
    <hyperlink ref="G5" r:id="rId2" xr:uid="{462B0F67-5EC9-4FF8-89A6-8EEA2FB07765}"/>
    <hyperlink ref="G3" r:id="rId3" xr:uid="{EE9A1A3F-D917-493B-AFAA-18D8B66A2EF0}"/>
    <hyperlink ref="G7" r:id="rId4" xr:uid="{5296134B-7200-4555-A5DD-BA900EEBA72E}"/>
    <hyperlink ref="G6" r:id="rId5" xr:uid="{034268A1-204A-411A-82A0-24EF4AB649CE}"/>
    <hyperlink ref="G8" r:id="rId6" xr:uid="{FA86F90D-79B7-4E7D-9CC3-AB2C64AE2D29}"/>
    <hyperlink ref="G9" r:id="rId7" xr:uid="{72BBA7C3-EE9D-4285-A7B2-771E6C792999}"/>
    <hyperlink ref="G10" r:id="rId8" xr:uid="{1E4563F3-B919-42EB-A8F0-D1582CF19A0A}"/>
    <hyperlink ref="G11" r:id="rId9" xr:uid="{A28E4914-5AE0-4F80-8F6F-2FEB4E937400}"/>
    <hyperlink ref="G12" r:id="rId10" xr:uid="{90821E44-37F8-4100-9CD8-93260448362F}"/>
    <hyperlink ref="G13" r:id="rId11" xr:uid="{1A7CA814-0119-4344-A24F-A841244311D6}"/>
    <hyperlink ref="G14" r:id="rId12" xr:uid="{E3DA1321-7AFB-44C7-AAB3-EB23AC966DF5}"/>
    <hyperlink ref="G15" r:id="rId13" xr:uid="{F8E8C6FA-F0AB-4FE3-B5A2-F3B6124BC7F9}"/>
    <hyperlink ref="G16" r:id="rId14" xr:uid="{563D5281-F8CC-4884-9F0E-635F09F4A1A3}"/>
    <hyperlink ref="G17" r:id="rId15" xr:uid="{E9B426F4-EA64-4203-9090-1F12A2D35C9B}"/>
    <hyperlink ref="G18" r:id="rId16" xr:uid="{E2439666-BFB5-4F80-9349-BC930FEE6763}"/>
    <hyperlink ref="G20" r:id="rId17" xr:uid="{E2C78AB4-999B-4DD2-910E-648DC0CD1E8D}"/>
  </hyperlinks>
  <pageMargins left="0.70866141732283472" right="0.70866141732283472" top="0.74803149606299213" bottom="0.74803149606299213" header="0.31496062992125984" footer="0.31496062992125984"/>
  <pageSetup paperSize="9" scale="36" fitToWidth="0" orientation="portrait" verticalDpi="0"/>
  <tableParts count="1">
    <tablePart r:id="rId1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3D4EC-9CA2-460F-BE0F-FD554BF7AC53}">
  <sheetPr>
    <tabColor theme="1"/>
    <pageSetUpPr fitToPage="1"/>
  </sheetPr>
  <dimension ref="A1:U23"/>
  <sheetViews>
    <sheetView showGridLines="0" topLeftCell="A3" workbookViewId="0">
      <selection activeCell="D5" sqref="D5"/>
    </sheetView>
  </sheetViews>
  <sheetFormatPr defaultColWidth="11.42578125" defaultRowHeight="27" customHeight="1"/>
  <cols>
    <col min="1" max="1" width="33.5703125" bestFit="1" customWidth="1"/>
    <col min="2" max="2" width="12.85546875" customWidth="1"/>
    <col min="3" max="3" width="12.7109375" customWidth="1"/>
    <col min="4" max="4" width="11" bestFit="1" customWidth="1"/>
    <col min="5" max="5" width="11.28515625" customWidth="1"/>
    <col min="6" max="6" width="55.28515625" customWidth="1"/>
    <col min="7" max="8" width="31.28515625" customWidth="1"/>
    <col min="9" max="9" width="12.5703125" style="2" bestFit="1" customWidth="1"/>
    <col min="10" max="10" width="14" customWidth="1"/>
    <col min="11" max="11" width="9.5703125" bestFit="1" customWidth="1"/>
    <col min="12" max="12" width="10.28515625" bestFit="1" customWidth="1"/>
    <col min="13" max="13" width="9.5703125" bestFit="1" customWidth="1"/>
    <col min="14" max="14" width="10.5703125" bestFit="1" customWidth="1"/>
    <col min="15" max="15" width="9.42578125" bestFit="1" customWidth="1"/>
    <col min="16" max="16" width="8.7109375" bestFit="1" customWidth="1"/>
    <col min="17" max="17" width="10.140625" bestFit="1" customWidth="1"/>
    <col min="18" max="18" width="10" bestFit="1" customWidth="1"/>
    <col min="19" max="19" width="9.42578125" bestFit="1" customWidth="1"/>
    <col min="20" max="20" width="10" bestFit="1" customWidth="1"/>
    <col min="21" max="21" width="9.28515625" bestFit="1" customWidth="1"/>
  </cols>
  <sheetData>
    <row r="1" spans="1:21" ht="27" customHeight="1">
      <c r="A1" s="29"/>
      <c r="B1" s="30"/>
      <c r="C1" s="30"/>
      <c r="D1" s="30"/>
      <c r="E1" s="30"/>
      <c r="F1" s="30"/>
      <c r="G1" s="30"/>
      <c r="H1" s="30"/>
    </row>
    <row r="2" spans="1:21" ht="96.75" customHeight="1">
      <c r="A2" s="158" t="s">
        <v>59</v>
      </c>
      <c r="B2" s="159" t="s">
        <v>60</v>
      </c>
      <c r="C2" s="160" t="s">
        <v>61</v>
      </c>
      <c r="D2" s="160" t="s">
        <v>62</v>
      </c>
      <c r="E2" s="160" t="s">
        <v>63</v>
      </c>
      <c r="F2" s="160" t="s">
        <v>64</v>
      </c>
      <c r="G2" s="160" t="s">
        <v>189</v>
      </c>
      <c r="H2" s="160" t="s">
        <v>257</v>
      </c>
      <c r="I2" s="160" t="s">
        <v>65</v>
      </c>
      <c r="J2" s="161" t="s">
        <v>258</v>
      </c>
      <c r="K2" s="161" t="s">
        <v>259</v>
      </c>
      <c r="L2" s="161" t="s">
        <v>260</v>
      </c>
      <c r="M2" s="161" t="s">
        <v>261</v>
      </c>
      <c r="N2" s="161" t="s">
        <v>262</v>
      </c>
      <c r="O2" s="161" t="s">
        <v>263</v>
      </c>
      <c r="P2" s="161" t="s">
        <v>264</v>
      </c>
      <c r="Q2" s="161" t="s">
        <v>265</v>
      </c>
      <c r="R2" s="161" t="s">
        <v>266</v>
      </c>
      <c r="S2" s="161" t="s">
        <v>267</v>
      </c>
      <c r="T2" s="161" t="s">
        <v>268</v>
      </c>
      <c r="U2" s="163" t="s">
        <v>269</v>
      </c>
    </row>
    <row r="3" spans="1:21" s="33" customFormat="1" ht="60" customHeight="1">
      <c r="A3" s="205" t="s">
        <v>270</v>
      </c>
      <c r="B3" s="206" t="s">
        <v>271</v>
      </c>
      <c r="C3" s="207">
        <v>45698</v>
      </c>
      <c r="D3" s="207">
        <v>45777</v>
      </c>
      <c r="E3" s="206">
        <v>61</v>
      </c>
      <c r="F3" s="209" t="s">
        <v>272</v>
      </c>
      <c r="G3" s="209" t="s">
        <v>273</v>
      </c>
      <c r="H3" s="201" t="s">
        <v>274</v>
      </c>
      <c r="I3" s="171" t="s">
        <v>70</v>
      </c>
      <c r="J3" s="171"/>
      <c r="K3" s="171"/>
      <c r="L3" s="171" t="s">
        <v>71</v>
      </c>
      <c r="M3" s="210" t="s">
        <v>71</v>
      </c>
      <c r="N3" s="210"/>
      <c r="O3" s="171"/>
      <c r="P3" s="171"/>
      <c r="Q3" s="171"/>
      <c r="R3" s="171"/>
      <c r="S3" s="171"/>
      <c r="T3" s="171"/>
      <c r="U3" s="199"/>
    </row>
    <row r="4" spans="1:21" s="33" customFormat="1" ht="60" customHeight="1">
      <c r="A4" s="180" t="s">
        <v>275</v>
      </c>
      <c r="B4" s="167" t="s">
        <v>276</v>
      </c>
      <c r="C4" s="168">
        <v>45754</v>
      </c>
      <c r="D4" s="165">
        <v>45855</v>
      </c>
      <c r="E4" s="164">
        <v>102</v>
      </c>
      <c r="F4" s="153" t="s">
        <v>277</v>
      </c>
      <c r="G4" s="201" t="s">
        <v>278</v>
      </c>
      <c r="H4" s="204"/>
      <c r="I4" s="171" t="s">
        <v>70</v>
      </c>
      <c r="J4" s="171"/>
      <c r="K4" s="171"/>
      <c r="L4" s="171"/>
      <c r="M4" s="171" t="s">
        <v>71</v>
      </c>
      <c r="N4" s="171" t="s">
        <v>71</v>
      </c>
      <c r="O4" s="171"/>
      <c r="P4" s="171"/>
      <c r="Q4" s="171"/>
      <c r="R4" s="171"/>
      <c r="S4" s="171"/>
      <c r="T4" s="171"/>
      <c r="U4" s="199"/>
    </row>
    <row r="5" spans="1:21" s="33" customFormat="1" ht="60" customHeight="1">
      <c r="A5" s="180" t="s">
        <v>279</v>
      </c>
      <c r="B5" s="167" t="s">
        <v>276</v>
      </c>
      <c r="C5" s="169">
        <v>45757</v>
      </c>
      <c r="D5" s="169">
        <v>45761</v>
      </c>
      <c r="E5" s="167">
        <v>4</v>
      </c>
      <c r="F5" s="154" t="s">
        <v>280</v>
      </c>
      <c r="G5" s="208" t="s">
        <v>281</v>
      </c>
      <c r="H5" s="204" t="s">
        <v>282</v>
      </c>
      <c r="I5" s="171" t="s">
        <v>70</v>
      </c>
      <c r="J5" s="171"/>
      <c r="K5" s="171"/>
      <c r="L5" s="171"/>
      <c r="M5" s="171"/>
      <c r="N5" s="171" t="s">
        <v>71</v>
      </c>
      <c r="O5" s="171"/>
      <c r="P5" s="171"/>
      <c r="Q5" s="171"/>
      <c r="R5" s="171"/>
      <c r="S5" s="171"/>
      <c r="T5" s="171"/>
      <c r="U5" s="199"/>
    </row>
    <row r="6" spans="1:21" ht="101.25" customHeight="1">
      <c r="A6" s="180" t="s">
        <v>283</v>
      </c>
      <c r="B6" s="167" t="s">
        <v>284</v>
      </c>
      <c r="C6" s="169">
        <v>45857</v>
      </c>
      <c r="D6" s="169" t="s">
        <v>285</v>
      </c>
      <c r="E6" s="167">
        <v>5</v>
      </c>
      <c r="F6" s="154" t="s">
        <v>286</v>
      </c>
      <c r="G6" s="201" t="s">
        <v>287</v>
      </c>
      <c r="H6" s="157"/>
      <c r="I6" s="171" t="s">
        <v>70</v>
      </c>
      <c r="J6" s="171"/>
      <c r="K6" s="171"/>
      <c r="L6" s="171"/>
      <c r="M6" s="171"/>
      <c r="N6" s="171"/>
      <c r="O6" s="171"/>
      <c r="P6" s="171" t="s">
        <v>71</v>
      </c>
      <c r="Q6" s="171"/>
      <c r="R6" s="171"/>
      <c r="S6" s="171"/>
      <c r="T6" s="171"/>
      <c r="U6" s="199"/>
    </row>
    <row r="7" spans="1:21" ht="99.75" customHeight="1">
      <c r="A7" s="181" t="s">
        <v>288</v>
      </c>
      <c r="B7" s="167" t="s">
        <v>289</v>
      </c>
      <c r="C7" s="165">
        <v>45873</v>
      </c>
      <c r="D7" s="169" t="s">
        <v>290</v>
      </c>
      <c r="E7" s="167">
        <v>3</v>
      </c>
      <c r="F7" s="152" t="s">
        <v>291</v>
      </c>
      <c r="G7" s="201" t="s">
        <v>292</v>
      </c>
      <c r="H7" s="156"/>
      <c r="I7" s="171" t="s">
        <v>70</v>
      </c>
      <c r="J7" s="171"/>
      <c r="K7" s="171"/>
      <c r="L7" s="171"/>
      <c r="M7" s="171"/>
      <c r="N7" s="171"/>
      <c r="O7" s="171"/>
      <c r="P7" s="171" t="s">
        <v>71</v>
      </c>
      <c r="Q7" s="171"/>
      <c r="R7" s="171"/>
      <c r="S7" s="171"/>
      <c r="T7" s="171"/>
      <c r="U7" s="199"/>
    </row>
    <row r="8" spans="1:21" ht="60" hidden="1" customHeight="1">
      <c r="A8" s="180" t="s">
        <v>293</v>
      </c>
      <c r="B8" s="167" t="s">
        <v>284</v>
      </c>
      <c r="C8" s="168">
        <v>45862</v>
      </c>
      <c r="D8" s="169">
        <v>45866</v>
      </c>
      <c r="E8" s="167">
        <v>4</v>
      </c>
      <c r="F8" s="154" t="s">
        <v>294</v>
      </c>
      <c r="G8" s="201" t="s">
        <v>295</v>
      </c>
      <c r="H8" s="156"/>
      <c r="I8" s="171" t="s">
        <v>70</v>
      </c>
      <c r="J8" s="171"/>
      <c r="K8" s="171"/>
      <c r="L8" s="171"/>
      <c r="M8" s="171"/>
      <c r="N8" s="171"/>
      <c r="O8" s="171"/>
      <c r="P8" s="171" t="s">
        <v>71</v>
      </c>
      <c r="Q8" s="171"/>
      <c r="R8" s="171"/>
      <c r="S8" s="171"/>
      <c r="T8" s="171"/>
      <c r="U8" s="199"/>
    </row>
    <row r="9" spans="1:21" ht="60" customHeight="1">
      <c r="A9" s="182" t="s">
        <v>296</v>
      </c>
      <c r="B9" s="167" t="s">
        <v>297</v>
      </c>
      <c r="C9" s="168">
        <v>45904</v>
      </c>
      <c r="D9" s="169">
        <v>45925</v>
      </c>
      <c r="E9" s="167">
        <v>21</v>
      </c>
      <c r="F9" s="154" t="s">
        <v>298</v>
      </c>
      <c r="G9" s="201" t="s">
        <v>299</v>
      </c>
      <c r="H9" s="201" t="s">
        <v>300</v>
      </c>
      <c r="I9" s="171" t="s">
        <v>70</v>
      </c>
      <c r="J9" s="171"/>
      <c r="K9" s="171"/>
      <c r="L9" s="171"/>
      <c r="M9" s="171"/>
      <c r="N9" s="171"/>
      <c r="O9" s="171"/>
      <c r="P9" s="171"/>
      <c r="Q9" s="171"/>
      <c r="R9" s="171" t="s">
        <v>71</v>
      </c>
      <c r="S9" s="171"/>
      <c r="T9" s="171"/>
      <c r="U9" s="199"/>
    </row>
    <row r="10" spans="1:21" ht="60" customHeight="1">
      <c r="A10" s="180" t="s">
        <v>301</v>
      </c>
      <c r="B10" s="167" t="s">
        <v>302</v>
      </c>
      <c r="C10" s="165">
        <v>45989</v>
      </c>
      <c r="D10" s="169">
        <v>46049</v>
      </c>
      <c r="E10" s="167">
        <v>61</v>
      </c>
      <c r="F10" s="154" t="s">
        <v>303</v>
      </c>
      <c r="G10" s="201" t="s">
        <v>304</v>
      </c>
      <c r="H10" s="156"/>
      <c r="I10" s="171" t="s">
        <v>70</v>
      </c>
      <c r="J10" s="171"/>
      <c r="K10" s="171"/>
      <c r="L10" s="171"/>
      <c r="M10" s="171"/>
      <c r="N10" s="171"/>
      <c r="O10" s="171"/>
      <c r="P10" s="171"/>
      <c r="Q10" s="171"/>
      <c r="R10" s="171"/>
      <c r="S10" s="171"/>
      <c r="T10" s="171" t="s">
        <v>71</v>
      </c>
      <c r="U10" s="199"/>
    </row>
    <row r="11" spans="1:21" ht="60" customHeight="1">
      <c r="A11" s="180" t="s">
        <v>305</v>
      </c>
      <c r="B11" s="167" t="s">
        <v>297</v>
      </c>
      <c r="C11" s="168" t="s">
        <v>306</v>
      </c>
      <c r="D11" s="169">
        <v>45987</v>
      </c>
      <c r="E11" s="167">
        <v>6</v>
      </c>
      <c r="F11" s="154" t="s">
        <v>307</v>
      </c>
      <c r="G11" s="201" t="s">
        <v>308</v>
      </c>
      <c r="H11" s="156"/>
      <c r="I11" s="171" t="s">
        <v>70</v>
      </c>
      <c r="J11" s="171"/>
      <c r="K11" s="171"/>
      <c r="L11" s="171"/>
      <c r="M11" s="171"/>
      <c r="N11" s="171"/>
      <c r="O11" s="171"/>
      <c r="P11" s="171"/>
      <c r="Q11" s="171"/>
      <c r="R11" s="171"/>
      <c r="S11" s="171"/>
      <c r="T11" s="171" t="s">
        <v>71</v>
      </c>
      <c r="U11" s="199"/>
    </row>
    <row r="12" spans="1:21" ht="60" customHeight="1">
      <c r="A12" s="181" t="s">
        <v>309</v>
      </c>
      <c r="B12" s="167" t="s">
        <v>297</v>
      </c>
      <c r="C12" s="169">
        <v>46013</v>
      </c>
      <c r="D12" s="169">
        <v>46015</v>
      </c>
      <c r="E12" s="167">
        <v>10</v>
      </c>
      <c r="F12" s="154" t="s">
        <v>310</v>
      </c>
      <c r="G12" s="201" t="s">
        <v>311</v>
      </c>
      <c r="H12" s="156"/>
      <c r="I12" s="171"/>
      <c r="J12" s="171"/>
      <c r="K12" s="171"/>
      <c r="L12" s="171"/>
      <c r="M12" s="171"/>
      <c r="N12" s="171"/>
      <c r="O12" s="171"/>
      <c r="P12" s="171"/>
      <c r="Q12" s="171"/>
      <c r="R12" s="171"/>
      <c r="S12" s="171"/>
      <c r="T12" s="171"/>
      <c r="U12" s="199" t="s">
        <v>71</v>
      </c>
    </row>
    <row r="13" spans="1:21" ht="60" customHeight="1">
      <c r="A13" s="180"/>
      <c r="B13" s="167"/>
      <c r="C13" s="169"/>
      <c r="D13" s="169"/>
      <c r="E13" s="167"/>
      <c r="F13" s="154"/>
      <c r="G13" s="156"/>
      <c r="H13" s="156"/>
      <c r="I13" s="171"/>
      <c r="J13" s="171"/>
      <c r="K13" s="171"/>
      <c r="L13" s="171"/>
      <c r="M13" s="171"/>
      <c r="N13" s="171"/>
      <c r="O13" s="171"/>
      <c r="P13" s="171"/>
      <c r="Q13" s="171"/>
      <c r="R13" s="171"/>
      <c r="S13" s="171"/>
      <c r="T13" s="171"/>
      <c r="U13" s="199"/>
    </row>
    <row r="14" spans="1:21" ht="60" customHeight="1">
      <c r="A14" s="180"/>
      <c r="B14" s="167"/>
      <c r="C14" s="169"/>
      <c r="D14" s="169"/>
      <c r="E14" s="167"/>
      <c r="F14" s="154"/>
      <c r="G14" s="156"/>
      <c r="H14" s="156"/>
      <c r="I14" s="171"/>
      <c r="J14" s="171"/>
      <c r="K14" s="171"/>
      <c r="L14" s="171"/>
      <c r="M14" s="171"/>
      <c r="N14" s="171"/>
      <c r="O14" s="171"/>
      <c r="P14" s="171"/>
      <c r="Q14" s="171"/>
      <c r="R14" s="171"/>
      <c r="S14" s="171"/>
      <c r="T14" s="171"/>
      <c r="U14" s="199"/>
    </row>
    <row r="15" spans="1:21" ht="60" customHeight="1">
      <c r="A15" s="180"/>
      <c r="B15" s="167"/>
      <c r="C15" s="169"/>
      <c r="D15" s="169"/>
      <c r="E15" s="167"/>
      <c r="F15" s="154"/>
      <c r="G15" s="156"/>
      <c r="H15" s="156"/>
      <c r="I15" s="171"/>
      <c r="J15" s="171"/>
      <c r="K15" s="171"/>
      <c r="L15" s="171"/>
      <c r="M15" s="171"/>
      <c r="N15" s="171"/>
      <c r="O15" s="171"/>
      <c r="P15" s="171"/>
      <c r="Q15" s="171"/>
      <c r="R15" s="171"/>
      <c r="S15" s="171"/>
      <c r="T15" s="171"/>
      <c r="U15" s="199"/>
    </row>
    <row r="16" spans="1:21" ht="60" customHeight="1">
      <c r="A16" s="183"/>
      <c r="B16" s="170"/>
      <c r="C16" s="196"/>
      <c r="D16" s="196"/>
      <c r="E16" s="170"/>
      <c r="F16" s="197"/>
      <c r="G16" s="198"/>
      <c r="H16" s="198"/>
      <c r="I16" s="172"/>
      <c r="J16" s="171"/>
      <c r="K16" s="172"/>
      <c r="L16" s="172"/>
      <c r="M16" s="172"/>
      <c r="N16" s="172"/>
      <c r="O16" s="172"/>
      <c r="P16" s="171"/>
      <c r="Q16" s="172"/>
      <c r="R16" s="172"/>
      <c r="S16" s="172"/>
      <c r="T16" s="172"/>
      <c r="U16" s="200"/>
    </row>
    <row r="17" spans="1:21" ht="60" customHeight="1">
      <c r="A17" s="180"/>
      <c r="B17" s="167"/>
      <c r="C17" s="169"/>
      <c r="D17" s="169"/>
      <c r="E17" s="167"/>
      <c r="F17" s="154"/>
      <c r="G17" s="156"/>
      <c r="H17" s="156"/>
      <c r="I17" s="171"/>
      <c r="J17" s="171"/>
      <c r="K17" s="171"/>
      <c r="L17" s="171"/>
      <c r="M17" s="171"/>
      <c r="N17" s="171"/>
      <c r="O17" s="171"/>
      <c r="P17" s="171"/>
      <c r="Q17" s="171"/>
      <c r="R17" s="171"/>
      <c r="S17" s="171"/>
      <c r="T17" s="171"/>
      <c r="U17" s="199"/>
    </row>
    <row r="18" spans="1:21" ht="60" customHeight="1">
      <c r="A18" s="180"/>
      <c r="B18" s="167"/>
      <c r="C18" s="169"/>
      <c r="D18" s="169"/>
      <c r="E18" s="167"/>
      <c r="F18" s="154"/>
      <c r="G18" s="156"/>
      <c r="H18" s="156"/>
      <c r="I18" s="171"/>
      <c r="J18" s="171"/>
      <c r="K18" s="171"/>
      <c r="L18" s="171"/>
      <c r="M18" s="171"/>
      <c r="N18" s="171"/>
      <c r="O18" s="171"/>
      <c r="P18" s="171"/>
      <c r="Q18" s="171"/>
      <c r="R18" s="171"/>
      <c r="S18" s="171"/>
      <c r="T18" s="171"/>
      <c r="U18" s="199"/>
    </row>
    <row r="19" spans="1:21" ht="60" customHeight="1">
      <c r="A19" s="180"/>
      <c r="B19" s="167"/>
      <c r="C19" s="169"/>
      <c r="D19" s="169"/>
      <c r="E19" s="167"/>
      <c r="F19" s="154"/>
      <c r="G19" s="156"/>
      <c r="H19" s="156"/>
      <c r="I19" s="171"/>
      <c r="J19" s="171"/>
      <c r="K19" s="171"/>
      <c r="L19" s="171"/>
      <c r="M19" s="171"/>
      <c r="N19" s="171"/>
      <c r="O19" s="171"/>
      <c r="P19" s="171"/>
      <c r="Q19" s="171"/>
      <c r="R19" s="171"/>
      <c r="S19" s="171"/>
      <c r="T19" s="171"/>
      <c r="U19" s="199"/>
    </row>
    <row r="20" spans="1:21" ht="60" customHeight="1">
      <c r="A20" s="180"/>
      <c r="B20" s="167"/>
      <c r="C20" s="169"/>
      <c r="D20" s="169"/>
      <c r="E20" s="167"/>
      <c r="F20" s="154"/>
      <c r="G20" s="156"/>
      <c r="H20" s="156"/>
      <c r="I20" s="171"/>
      <c r="J20" s="171"/>
      <c r="K20" s="171"/>
      <c r="L20" s="171"/>
      <c r="M20" s="171"/>
      <c r="N20" s="171"/>
      <c r="O20" s="171"/>
      <c r="P20" s="171"/>
      <c r="Q20" s="171"/>
      <c r="R20" s="171"/>
      <c r="S20" s="171"/>
      <c r="T20" s="171"/>
      <c r="U20" s="199"/>
    </row>
    <row r="21" spans="1:21" ht="60" customHeight="1">
      <c r="A21" s="180"/>
      <c r="B21" s="167"/>
      <c r="C21" s="169"/>
      <c r="D21" s="169"/>
      <c r="E21" s="167"/>
      <c r="F21" s="154"/>
      <c r="G21" s="156"/>
      <c r="H21" s="156"/>
      <c r="I21" s="171"/>
      <c r="J21" s="171"/>
      <c r="K21" s="171"/>
      <c r="L21" s="171"/>
      <c r="M21" s="171"/>
      <c r="N21" s="171"/>
      <c r="O21" s="171"/>
      <c r="P21" s="171"/>
      <c r="Q21" s="171"/>
      <c r="R21" s="171"/>
      <c r="S21" s="171"/>
      <c r="T21" s="171"/>
      <c r="U21" s="199"/>
    </row>
    <row r="22" spans="1:21" ht="60" customHeight="1">
      <c r="A22" s="180"/>
      <c r="B22" s="167"/>
      <c r="C22" s="169"/>
      <c r="D22" s="169"/>
      <c r="E22" s="167"/>
      <c r="F22" s="154"/>
      <c r="G22" s="156"/>
      <c r="H22" s="156"/>
      <c r="I22" s="171"/>
      <c r="J22" s="171"/>
      <c r="K22" s="171"/>
      <c r="L22" s="171"/>
      <c r="M22" s="171"/>
      <c r="N22" s="171"/>
      <c r="O22" s="171"/>
      <c r="P22" s="171"/>
      <c r="Q22" s="171"/>
      <c r="R22" s="171"/>
      <c r="S22" s="171"/>
      <c r="T22" s="171"/>
      <c r="U22" s="199"/>
    </row>
    <row r="23" spans="1:21" ht="12.75">
      <c r="A23" s="177" t="s">
        <v>58</v>
      </c>
      <c r="B23" s="178"/>
      <c r="C23" s="179">
        <f>SUBTOTAL(103,C4:C22)</f>
        <v>8</v>
      </c>
      <c r="D23" s="179"/>
      <c r="E23" s="178"/>
      <c r="F23" s="176"/>
      <c r="G23" s="173"/>
      <c r="H23" s="173"/>
      <c r="I23" s="174"/>
      <c r="J23" s="174">
        <f t="shared" ref="J23:U23" si="0">SUBTOTAL(103,J3:J22)</f>
        <v>0</v>
      </c>
      <c r="K23" s="174">
        <f t="shared" si="0"/>
        <v>0</v>
      </c>
      <c r="L23" s="174">
        <f t="shared" si="0"/>
        <v>1</v>
      </c>
      <c r="M23" s="174">
        <f>SUBTOTAL(103,M4:M22)</f>
        <v>1</v>
      </c>
      <c r="N23" s="174">
        <f>SUBTOTAL(103,N4:N22)</f>
        <v>2</v>
      </c>
      <c r="O23" s="174">
        <f t="shared" si="0"/>
        <v>0</v>
      </c>
      <c r="P23" s="174">
        <f t="shared" si="0"/>
        <v>2</v>
      </c>
      <c r="Q23" s="174">
        <f t="shared" si="0"/>
        <v>0</v>
      </c>
      <c r="R23" s="174">
        <f t="shared" si="0"/>
        <v>1</v>
      </c>
      <c r="S23" s="174">
        <f t="shared" si="0"/>
        <v>0</v>
      </c>
      <c r="T23" s="174">
        <f t="shared" si="0"/>
        <v>2</v>
      </c>
      <c r="U23" s="175">
        <f t="shared" si="0"/>
        <v>1</v>
      </c>
    </row>
  </sheetData>
  <conditionalFormatting sqref="J6:U22 J3:L5 O3:U5 M4:N5">
    <cfRule type="cellIs" dxfId="95" priority="1" operator="equal">
      <formula>"X"</formula>
    </cfRule>
  </conditionalFormatting>
  <hyperlinks>
    <hyperlink ref="G4" r:id="rId1" xr:uid="{FFD29DC4-F2CE-43D5-8F0C-C060AF826A63}"/>
    <hyperlink ref="G5" r:id="rId2" xr:uid="{B8D5E2CF-1344-4C7E-B32E-D09EA3F8C465}"/>
    <hyperlink ref="G3" r:id="rId3" xr:uid="{9A631088-B954-41DA-8DA6-69A6A2785096}"/>
    <hyperlink ref="H3" r:id="rId4" display="https://maximiasams.sharepoint.com/sites/SGC/Documentos%20compartidos/Forms/AllItems.aspx?id=%2Fsites%2FSGC%2FDocumentos%20compartidos%2F08%20-%20Operaciones%2F03%20-%20Control%20de%20Calidad%2FRegistros%2FHyS%2FCOCINAS%2FSALTA%20%28Guemes%29%2F2025%2FFR%20109%20Informe%20de%20Investigación%20de%20Accidentes&amp;viewid=6eac0f6e-1073-4a98-99d6-a56bf71e815e" xr:uid="{3B5D154F-473D-4D78-A016-F924819DF00B}"/>
    <hyperlink ref="H5" r:id="rId5" display="https://maximiasams.sharepoint.com/sites/SGC/Documentos%20compartidos/Forms/AllItems.aspx?id=%2Fsites%2FSGC%2FDocumentos%20compartidos%2F08%20-%20Operaciones%2F03%20-%20Control%20de%20Calidad%2FRegistros%2FHyS%2FCOCINAS%2FPLANTA%20DE%20ARENA%2F2025%2FFR%20109-01%20Informe%20Técnico%20de%20Investigación%20de%20Accidentes%20e%20Incidentes&amp;viewid=6eac0f6e-1073-4a98-99d6-a56bf71e815e" xr:uid="{F1967041-D051-475E-8BBE-217D54E26C6B}"/>
    <hyperlink ref="G6" r:id="rId6" xr:uid="{7AE2F5A3-C530-4A96-8B49-6DA88C17C458}"/>
    <hyperlink ref="G7" r:id="rId7" xr:uid="{7B109360-011A-492F-B044-A4CA1EB4FB6C}"/>
    <hyperlink ref="G8" r:id="rId8" xr:uid="{CFF30F38-9977-4DC6-86F0-5042A596959A}"/>
    <hyperlink ref="G9" r:id="rId9" xr:uid="{3427D841-8195-4C68-9EF4-B9C655F4FF33}"/>
    <hyperlink ref="H9" r:id="rId10" display="https://maximiasams.sharepoint.com/sites/SGC/Documentos%20compartidos/Forms/AllItems.aspx?id=%2Fsites%2FSGC%2FDocumentos%20compartidos%2F08%20-%20Operaciones%2F03%20-%20Control%20de%20Calidad%2FRegistros%2FHyS%2FCOCINAS%2FPK%20327%2F2025%2FFR%20107%20Control%20de%20Higiene%20y%20Seguridad%2FFR%20109%20Accidentes&amp;viewid=6eac0f6e-1073-4a98-99d6-a56bf71e815e" xr:uid="{7CB1542E-44AF-46F9-961F-ABDAE6C7B81A}"/>
    <hyperlink ref="G10" r:id="rId11" xr:uid="{6881BDA3-F9A6-4FE4-8DCA-90ED35A308BD}"/>
    <hyperlink ref="G11" r:id="rId12" xr:uid="{E66EE48D-0E91-4BFA-8BC8-040850915ACC}"/>
    <hyperlink ref="G12" r:id="rId13" xr:uid="{A69CEF64-D40D-4CFA-9101-4D43A606BCEE}"/>
  </hyperlinks>
  <pageMargins left="0.70866141732283472" right="0.70866141732283472" top="0.74803149606299213" bottom="0.74803149606299213" header="0.31496062992125984" footer="0.31496062992125984"/>
  <pageSetup paperSize="9" scale="36" fitToWidth="0" orientation="portrait" verticalDpi="0"/>
  <tableParts count="1">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B79E3-3387-4380-8DEE-A9A0939DCF8E}">
  <sheetPr>
    <tabColor theme="6" tint="-0.499984740745262"/>
    <pageSetUpPr fitToPage="1"/>
  </sheetPr>
  <dimension ref="A1:U23"/>
  <sheetViews>
    <sheetView showGridLines="0" topLeftCell="A2" workbookViewId="0">
      <selection activeCell="A4" sqref="A4"/>
    </sheetView>
  </sheetViews>
  <sheetFormatPr defaultColWidth="11.42578125" defaultRowHeight="27" customHeight="1"/>
  <cols>
    <col min="1" max="1" width="33.5703125" bestFit="1" customWidth="1"/>
    <col min="2" max="2" width="12.85546875" customWidth="1"/>
    <col min="3" max="3" width="12.7109375" customWidth="1"/>
    <col min="4" max="4" width="11" bestFit="1" customWidth="1"/>
    <col min="5" max="5" width="11.28515625" customWidth="1"/>
    <col min="6" max="6" width="55.28515625" customWidth="1"/>
    <col min="7" max="8" width="31.28515625" customWidth="1"/>
    <col min="9" max="9" width="12.5703125" style="2" bestFit="1" customWidth="1"/>
    <col min="10" max="10" width="14" customWidth="1"/>
    <col min="11" max="11" width="9.5703125" bestFit="1" customWidth="1"/>
    <col min="12" max="12" width="10.28515625" bestFit="1" customWidth="1"/>
    <col min="13" max="13" width="9.5703125" bestFit="1" customWidth="1"/>
    <col min="14" max="14" width="10.5703125" bestFit="1" customWidth="1"/>
    <col min="15" max="15" width="9.42578125" bestFit="1" customWidth="1"/>
    <col min="16" max="16" width="8.7109375" bestFit="1" customWidth="1"/>
    <col min="17" max="17" width="10.140625" bestFit="1" customWidth="1"/>
    <col min="18" max="18" width="10" bestFit="1" customWidth="1"/>
    <col min="19" max="19" width="9.42578125" bestFit="1" customWidth="1"/>
    <col min="20" max="20" width="10" bestFit="1" customWidth="1"/>
    <col min="21" max="21" width="9.28515625" bestFit="1" customWidth="1"/>
  </cols>
  <sheetData>
    <row r="1" spans="1:21" ht="27" customHeight="1">
      <c r="A1" s="29"/>
      <c r="B1" s="30"/>
      <c r="C1" s="30"/>
      <c r="D1" s="30"/>
      <c r="E1" s="30"/>
      <c r="F1" s="30"/>
      <c r="G1" s="30"/>
      <c r="H1" s="30"/>
    </row>
    <row r="2" spans="1:21" ht="96.75" customHeight="1">
      <c r="A2" s="158" t="s">
        <v>59</v>
      </c>
      <c r="B2" s="159" t="s">
        <v>60</v>
      </c>
      <c r="C2" s="160" t="s">
        <v>61</v>
      </c>
      <c r="D2" s="160" t="s">
        <v>62</v>
      </c>
      <c r="E2" s="160" t="s">
        <v>63</v>
      </c>
      <c r="F2" s="160" t="s">
        <v>64</v>
      </c>
      <c r="G2" s="160" t="s">
        <v>189</v>
      </c>
      <c r="H2" s="160" t="s">
        <v>257</v>
      </c>
      <c r="I2" s="160" t="s">
        <v>65</v>
      </c>
      <c r="J2" s="161" t="s">
        <v>258</v>
      </c>
      <c r="K2" s="161" t="s">
        <v>259</v>
      </c>
      <c r="L2" s="161" t="s">
        <v>260</v>
      </c>
      <c r="M2" s="161" t="s">
        <v>261</v>
      </c>
      <c r="N2" s="161" t="s">
        <v>262</v>
      </c>
      <c r="O2" s="161" t="s">
        <v>263</v>
      </c>
      <c r="P2" s="161" t="s">
        <v>264</v>
      </c>
      <c r="Q2" s="161" t="s">
        <v>265</v>
      </c>
      <c r="R2" s="161" t="s">
        <v>266</v>
      </c>
      <c r="S2" s="161" t="s">
        <v>267</v>
      </c>
      <c r="T2" s="161" t="s">
        <v>268</v>
      </c>
      <c r="U2" s="163" t="s">
        <v>269</v>
      </c>
    </row>
    <row r="3" spans="1:21" s="33" customFormat="1" ht="60" customHeight="1">
      <c r="A3" s="205"/>
      <c r="B3" s="206"/>
      <c r="C3" s="207"/>
      <c r="D3" s="207"/>
      <c r="E3" s="206"/>
      <c r="F3" s="209"/>
      <c r="G3" s="209"/>
      <c r="H3" s="201"/>
      <c r="I3" s="171"/>
      <c r="J3" s="171"/>
      <c r="K3" s="171"/>
      <c r="L3" s="171"/>
      <c r="M3" s="210"/>
      <c r="N3" s="210"/>
      <c r="O3" s="171"/>
      <c r="P3" s="171"/>
      <c r="Q3" s="171"/>
      <c r="R3" s="171"/>
      <c r="S3" s="171"/>
      <c r="T3" s="171"/>
      <c r="U3" s="199"/>
    </row>
    <row r="4" spans="1:21" s="33" customFormat="1" ht="60" customHeight="1">
      <c r="A4" s="180"/>
      <c r="B4" s="167"/>
      <c r="C4" s="168"/>
      <c r="D4" s="165"/>
      <c r="E4" s="164"/>
      <c r="F4" s="153"/>
      <c r="G4" s="201"/>
      <c r="H4" s="204"/>
      <c r="I4" s="171"/>
      <c r="J4" s="171"/>
      <c r="K4" s="171"/>
      <c r="L4" s="171"/>
      <c r="M4" s="171"/>
      <c r="N4" s="171"/>
      <c r="O4" s="171"/>
      <c r="P4" s="171"/>
      <c r="Q4" s="171"/>
      <c r="R4" s="171"/>
      <c r="S4" s="171"/>
      <c r="T4" s="171"/>
      <c r="U4" s="199"/>
    </row>
    <row r="5" spans="1:21" s="33" customFormat="1" ht="60" customHeight="1">
      <c r="A5" s="180"/>
      <c r="B5" s="167"/>
      <c r="C5" s="169"/>
      <c r="D5" s="169"/>
      <c r="E5" s="167"/>
      <c r="F5" s="154"/>
      <c r="G5" s="208"/>
      <c r="H5" s="204"/>
      <c r="I5" s="171"/>
      <c r="J5" s="171"/>
      <c r="K5" s="171"/>
      <c r="L5" s="171"/>
      <c r="M5" s="171"/>
      <c r="N5" s="171"/>
      <c r="O5" s="171"/>
      <c r="P5" s="171"/>
      <c r="Q5" s="171"/>
      <c r="R5" s="171"/>
      <c r="S5" s="171"/>
      <c r="T5" s="171"/>
      <c r="U5" s="199"/>
    </row>
    <row r="6" spans="1:21" ht="101.25" customHeight="1">
      <c r="A6" s="180"/>
      <c r="B6" s="167"/>
      <c r="C6" s="169"/>
      <c r="D6" s="169"/>
      <c r="E6" s="167"/>
      <c r="F6" s="154"/>
      <c r="G6" s="201"/>
      <c r="H6" s="157"/>
      <c r="I6" s="171"/>
      <c r="J6" s="171"/>
      <c r="K6" s="171"/>
      <c r="L6" s="171"/>
      <c r="M6" s="171"/>
      <c r="N6" s="171"/>
      <c r="O6" s="171"/>
      <c r="P6" s="171"/>
      <c r="Q6" s="171"/>
      <c r="R6" s="171"/>
      <c r="S6" s="171"/>
      <c r="T6" s="171"/>
      <c r="U6" s="199"/>
    </row>
    <row r="7" spans="1:21" ht="99.75" customHeight="1">
      <c r="A7" s="181"/>
      <c r="B7" s="167"/>
      <c r="C7" s="165"/>
      <c r="D7" s="169"/>
      <c r="E7" s="167"/>
      <c r="F7" s="152"/>
      <c r="G7" s="201"/>
      <c r="H7" s="156"/>
      <c r="I7" s="171"/>
      <c r="J7" s="171"/>
      <c r="K7" s="171"/>
      <c r="L7" s="171"/>
      <c r="M7" s="171"/>
      <c r="N7" s="171"/>
      <c r="O7" s="171"/>
      <c r="P7" s="171"/>
      <c r="Q7" s="171"/>
      <c r="R7" s="171"/>
      <c r="S7" s="171"/>
      <c r="T7" s="171"/>
      <c r="U7" s="199"/>
    </row>
    <row r="8" spans="1:21" ht="60" hidden="1" customHeight="1">
      <c r="A8" s="180" t="s">
        <v>293</v>
      </c>
      <c r="B8" s="167" t="s">
        <v>284</v>
      </c>
      <c r="C8" s="168">
        <v>45862</v>
      </c>
      <c r="D8" s="169">
        <v>45866</v>
      </c>
      <c r="E8" s="167">
        <v>4</v>
      </c>
      <c r="F8" s="154" t="s">
        <v>294</v>
      </c>
      <c r="G8" s="201" t="s">
        <v>295</v>
      </c>
      <c r="H8" s="156"/>
      <c r="I8" s="171" t="s">
        <v>70</v>
      </c>
      <c r="J8" s="171"/>
      <c r="K8" s="171"/>
      <c r="L8" s="171"/>
      <c r="M8" s="171"/>
      <c r="N8" s="171"/>
      <c r="O8" s="171"/>
      <c r="P8" s="171" t="s">
        <v>71</v>
      </c>
      <c r="Q8" s="171"/>
      <c r="R8" s="171"/>
      <c r="S8" s="171"/>
      <c r="T8" s="171"/>
      <c r="U8" s="199"/>
    </row>
    <row r="9" spans="1:21" ht="60" customHeight="1">
      <c r="A9" s="182"/>
      <c r="B9" s="167"/>
      <c r="C9" s="168"/>
      <c r="D9" s="169"/>
      <c r="E9" s="167"/>
      <c r="F9" s="154"/>
      <c r="G9" s="201"/>
      <c r="H9" s="201"/>
      <c r="I9" s="171"/>
      <c r="J9" s="171"/>
      <c r="K9" s="171"/>
      <c r="L9" s="171"/>
      <c r="M9" s="171"/>
      <c r="N9" s="171"/>
      <c r="O9" s="171"/>
      <c r="P9" s="171"/>
      <c r="Q9" s="171"/>
      <c r="R9" s="171"/>
      <c r="S9" s="171"/>
      <c r="T9" s="171"/>
      <c r="U9" s="199"/>
    </row>
    <row r="10" spans="1:21" ht="60" customHeight="1">
      <c r="A10" s="180"/>
      <c r="B10" s="167"/>
      <c r="C10" s="165"/>
      <c r="D10" s="169"/>
      <c r="E10" s="167"/>
      <c r="F10" s="154"/>
      <c r="G10" s="201"/>
      <c r="H10" s="156"/>
      <c r="I10" s="171"/>
      <c r="J10" s="171"/>
      <c r="K10" s="171"/>
      <c r="L10" s="171"/>
      <c r="M10" s="171"/>
      <c r="N10" s="171"/>
      <c r="O10" s="171"/>
      <c r="P10" s="171"/>
      <c r="Q10" s="171"/>
      <c r="R10" s="171"/>
      <c r="S10" s="171"/>
      <c r="T10" s="171"/>
      <c r="U10" s="199"/>
    </row>
    <row r="11" spans="1:21" ht="60" customHeight="1">
      <c r="A11" s="180"/>
      <c r="B11" s="167"/>
      <c r="C11" s="168"/>
      <c r="D11" s="169"/>
      <c r="E11" s="167"/>
      <c r="F11" s="154"/>
      <c r="G11" s="201"/>
      <c r="H11" s="156"/>
      <c r="I11" s="171"/>
      <c r="J11" s="171"/>
      <c r="K11" s="171"/>
      <c r="L11" s="171"/>
      <c r="M11" s="171"/>
      <c r="N11" s="171"/>
      <c r="O11" s="171"/>
      <c r="P11" s="171"/>
      <c r="Q11" s="171"/>
      <c r="R11" s="171"/>
      <c r="S11" s="171"/>
      <c r="T11" s="171"/>
      <c r="U11" s="199"/>
    </row>
    <row r="12" spans="1:21" ht="60" customHeight="1">
      <c r="A12" s="181"/>
      <c r="B12" s="167"/>
      <c r="C12" s="169"/>
      <c r="D12" s="169"/>
      <c r="E12" s="167"/>
      <c r="F12" s="154"/>
      <c r="G12" s="156"/>
      <c r="H12" s="156"/>
      <c r="I12" s="171"/>
      <c r="J12" s="171"/>
      <c r="K12" s="171"/>
      <c r="L12" s="171"/>
      <c r="M12" s="171"/>
      <c r="N12" s="171"/>
      <c r="O12" s="171"/>
      <c r="P12" s="171"/>
      <c r="Q12" s="171"/>
      <c r="R12" s="171"/>
      <c r="S12" s="171"/>
      <c r="T12" s="171"/>
      <c r="U12" s="199"/>
    </row>
    <row r="13" spans="1:21" ht="60" customHeight="1">
      <c r="A13" s="180"/>
      <c r="B13" s="167"/>
      <c r="C13" s="169"/>
      <c r="D13" s="169"/>
      <c r="E13" s="167"/>
      <c r="F13" s="154"/>
      <c r="G13" s="156"/>
      <c r="H13" s="156"/>
      <c r="I13" s="171"/>
      <c r="J13" s="171"/>
      <c r="K13" s="171"/>
      <c r="L13" s="171"/>
      <c r="M13" s="171"/>
      <c r="N13" s="171"/>
      <c r="O13" s="171"/>
      <c r="P13" s="171"/>
      <c r="Q13" s="171"/>
      <c r="R13" s="171"/>
      <c r="S13" s="171"/>
      <c r="T13" s="171"/>
      <c r="U13" s="199"/>
    </row>
    <row r="14" spans="1:21" ht="60" customHeight="1">
      <c r="A14" s="180"/>
      <c r="B14" s="167"/>
      <c r="C14" s="169"/>
      <c r="D14" s="169"/>
      <c r="E14" s="167"/>
      <c r="F14" s="154"/>
      <c r="G14" s="156"/>
      <c r="H14" s="156"/>
      <c r="I14" s="171"/>
      <c r="J14" s="171"/>
      <c r="K14" s="171"/>
      <c r="L14" s="171"/>
      <c r="M14" s="171"/>
      <c r="N14" s="171"/>
      <c r="O14" s="171"/>
      <c r="P14" s="171"/>
      <c r="Q14" s="171"/>
      <c r="R14" s="171"/>
      <c r="S14" s="171"/>
      <c r="T14" s="171"/>
      <c r="U14" s="199"/>
    </row>
    <row r="15" spans="1:21" ht="60" customHeight="1">
      <c r="A15" s="180"/>
      <c r="B15" s="167"/>
      <c r="C15" s="169"/>
      <c r="D15" s="169"/>
      <c r="E15" s="167"/>
      <c r="F15" s="154"/>
      <c r="G15" s="156"/>
      <c r="H15" s="156"/>
      <c r="I15" s="171"/>
      <c r="J15" s="171"/>
      <c r="K15" s="171"/>
      <c r="L15" s="171"/>
      <c r="M15" s="171"/>
      <c r="N15" s="171"/>
      <c r="O15" s="171"/>
      <c r="P15" s="171"/>
      <c r="Q15" s="171"/>
      <c r="R15" s="171"/>
      <c r="S15" s="171"/>
      <c r="T15" s="171"/>
      <c r="U15" s="199"/>
    </row>
    <row r="16" spans="1:21" ht="60" customHeight="1">
      <c r="A16" s="183"/>
      <c r="B16" s="170"/>
      <c r="C16" s="196"/>
      <c r="D16" s="196"/>
      <c r="E16" s="170"/>
      <c r="F16" s="197"/>
      <c r="G16" s="198"/>
      <c r="H16" s="198"/>
      <c r="I16" s="172"/>
      <c r="J16" s="171"/>
      <c r="K16" s="172"/>
      <c r="L16" s="172"/>
      <c r="M16" s="172"/>
      <c r="N16" s="172"/>
      <c r="O16" s="172"/>
      <c r="P16" s="171"/>
      <c r="Q16" s="172"/>
      <c r="R16" s="172"/>
      <c r="S16" s="172"/>
      <c r="T16" s="172"/>
      <c r="U16" s="200"/>
    </row>
    <row r="17" spans="1:21" ht="60" customHeight="1">
      <c r="A17" s="180"/>
      <c r="B17" s="167"/>
      <c r="C17" s="169"/>
      <c r="D17" s="169"/>
      <c r="E17" s="167"/>
      <c r="F17" s="154"/>
      <c r="G17" s="156"/>
      <c r="H17" s="156"/>
      <c r="I17" s="171"/>
      <c r="J17" s="171"/>
      <c r="K17" s="171"/>
      <c r="L17" s="171"/>
      <c r="M17" s="171"/>
      <c r="N17" s="171"/>
      <c r="O17" s="171"/>
      <c r="P17" s="171"/>
      <c r="Q17" s="171"/>
      <c r="R17" s="171"/>
      <c r="S17" s="171"/>
      <c r="T17" s="171"/>
      <c r="U17" s="199"/>
    </row>
    <row r="18" spans="1:21" ht="60" customHeight="1">
      <c r="A18" s="180"/>
      <c r="B18" s="167"/>
      <c r="C18" s="169"/>
      <c r="D18" s="169"/>
      <c r="E18" s="167"/>
      <c r="F18" s="154"/>
      <c r="G18" s="156"/>
      <c r="H18" s="156"/>
      <c r="I18" s="171"/>
      <c r="J18" s="171"/>
      <c r="K18" s="171"/>
      <c r="L18" s="171"/>
      <c r="M18" s="171"/>
      <c r="N18" s="171"/>
      <c r="O18" s="171"/>
      <c r="P18" s="171"/>
      <c r="Q18" s="171"/>
      <c r="R18" s="171"/>
      <c r="S18" s="171"/>
      <c r="T18" s="171"/>
      <c r="U18" s="199"/>
    </row>
    <row r="19" spans="1:21" ht="60" customHeight="1">
      <c r="A19" s="180"/>
      <c r="B19" s="167"/>
      <c r="C19" s="169"/>
      <c r="D19" s="169"/>
      <c r="E19" s="167"/>
      <c r="F19" s="154"/>
      <c r="G19" s="156"/>
      <c r="H19" s="156"/>
      <c r="I19" s="171"/>
      <c r="J19" s="171"/>
      <c r="K19" s="171"/>
      <c r="L19" s="171"/>
      <c r="M19" s="171"/>
      <c r="N19" s="171"/>
      <c r="O19" s="171"/>
      <c r="P19" s="171"/>
      <c r="Q19" s="171"/>
      <c r="R19" s="171"/>
      <c r="S19" s="171"/>
      <c r="T19" s="171"/>
      <c r="U19" s="199"/>
    </row>
    <row r="20" spans="1:21" ht="60" customHeight="1">
      <c r="A20" s="180"/>
      <c r="B20" s="167"/>
      <c r="C20" s="169"/>
      <c r="D20" s="169"/>
      <c r="E20" s="167"/>
      <c r="F20" s="154"/>
      <c r="G20" s="156"/>
      <c r="H20" s="156"/>
      <c r="I20" s="171"/>
      <c r="J20" s="171"/>
      <c r="K20" s="171"/>
      <c r="L20" s="171"/>
      <c r="M20" s="171"/>
      <c r="N20" s="171"/>
      <c r="O20" s="171"/>
      <c r="P20" s="171"/>
      <c r="Q20" s="171"/>
      <c r="R20" s="171"/>
      <c r="S20" s="171"/>
      <c r="T20" s="171"/>
      <c r="U20" s="199"/>
    </row>
    <row r="21" spans="1:21" ht="60" customHeight="1">
      <c r="A21" s="180"/>
      <c r="B21" s="167"/>
      <c r="C21" s="169"/>
      <c r="D21" s="169"/>
      <c r="E21" s="167"/>
      <c r="F21" s="154"/>
      <c r="G21" s="156"/>
      <c r="H21" s="156"/>
      <c r="I21" s="171"/>
      <c r="J21" s="171"/>
      <c r="K21" s="171"/>
      <c r="L21" s="171"/>
      <c r="M21" s="171"/>
      <c r="N21" s="171"/>
      <c r="O21" s="171"/>
      <c r="P21" s="171"/>
      <c r="Q21" s="171"/>
      <c r="R21" s="171"/>
      <c r="S21" s="171"/>
      <c r="T21" s="171"/>
      <c r="U21" s="199"/>
    </row>
    <row r="22" spans="1:21" ht="60" customHeight="1">
      <c r="A22" s="180"/>
      <c r="B22" s="167"/>
      <c r="C22" s="169"/>
      <c r="D22" s="169"/>
      <c r="E22" s="167"/>
      <c r="F22" s="154"/>
      <c r="G22" s="156"/>
      <c r="H22" s="156"/>
      <c r="I22" s="171"/>
      <c r="J22" s="171"/>
      <c r="K22" s="171"/>
      <c r="L22" s="171"/>
      <c r="M22" s="171"/>
      <c r="N22" s="171"/>
      <c r="O22" s="171"/>
      <c r="P22" s="171"/>
      <c r="Q22" s="171"/>
      <c r="R22" s="171"/>
      <c r="S22" s="171"/>
      <c r="T22" s="171"/>
      <c r="U22" s="199"/>
    </row>
    <row r="23" spans="1:21" ht="12.75">
      <c r="A23" s="177" t="s">
        <v>58</v>
      </c>
      <c r="B23" s="178"/>
      <c r="C23" s="179">
        <f>SUBTOTAL(103,C4:C22)</f>
        <v>0</v>
      </c>
      <c r="D23" s="179"/>
      <c r="E23" s="178"/>
      <c r="F23" s="176"/>
      <c r="G23" s="173"/>
      <c r="H23" s="173"/>
      <c r="I23" s="174"/>
      <c r="J23" s="174">
        <f t="shared" ref="J23:U23" si="0">SUBTOTAL(103,J3:J22)</f>
        <v>0</v>
      </c>
      <c r="K23" s="174">
        <f t="shared" si="0"/>
        <v>0</v>
      </c>
      <c r="L23" s="174">
        <f t="shared" si="0"/>
        <v>0</v>
      </c>
      <c r="M23" s="174">
        <f>SUBTOTAL(103,M4:M22)</f>
        <v>0</v>
      </c>
      <c r="N23" s="174">
        <f>SUBTOTAL(103,N4:N22)</f>
        <v>0</v>
      </c>
      <c r="O23" s="174">
        <f t="shared" si="0"/>
        <v>0</v>
      </c>
      <c r="P23" s="174">
        <f t="shared" si="0"/>
        <v>0</v>
      </c>
      <c r="Q23" s="174">
        <f t="shared" si="0"/>
        <v>0</v>
      </c>
      <c r="R23" s="174">
        <f t="shared" si="0"/>
        <v>0</v>
      </c>
      <c r="S23" s="174">
        <f t="shared" si="0"/>
        <v>0</v>
      </c>
      <c r="T23" s="174">
        <f t="shared" si="0"/>
        <v>0</v>
      </c>
      <c r="U23" s="175">
        <f t="shared" si="0"/>
        <v>0</v>
      </c>
    </row>
  </sheetData>
  <conditionalFormatting sqref="J6:U22 J3:L5 O3:U5 M4:N5">
    <cfRule type="cellIs" dxfId="47" priority="1" operator="equal">
      <formula>"X"</formula>
    </cfRule>
  </conditionalFormatting>
  <hyperlinks>
    <hyperlink ref="G8" r:id="rId1" xr:uid="{87827C3A-B842-43F2-973A-32D3AA1FF5C8}"/>
  </hyperlinks>
  <pageMargins left="0.70866141732283472" right="0.70866141732283472" top="0.74803149606299213" bottom="0.74803149606299213" header="0.31496062992125984" footer="0.31496062992125984"/>
  <pageSetup paperSize="9" scale="36" fitToWidth="0" orientation="portrait" verticalDpi="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EF31-9F7F-498D-A543-40AC8003590F}">
  <sheetPr>
    <tabColor theme="6" tint="-0.499984740745262"/>
    <pageSetUpPr fitToPage="1"/>
  </sheetPr>
  <dimension ref="A1:R59"/>
  <sheetViews>
    <sheetView workbookViewId="0">
      <selection activeCell="H11" sqref="H11"/>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20.710937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313</v>
      </c>
      <c r="C2" s="9"/>
      <c r="F2" s="11"/>
      <c r="P2" s="1"/>
      <c r="Q2" s="9"/>
      <c r="R2" s="12"/>
    </row>
    <row r="3" spans="1:18" ht="21" customHeight="1">
      <c r="C3" s="9" t="s">
        <v>314</v>
      </c>
      <c r="H3" s="47" t="s">
        <v>315</v>
      </c>
      <c r="I3" s="47"/>
      <c r="K3" s="47" t="s">
        <v>315</v>
      </c>
    </row>
    <row r="4" spans="1:18" ht="48">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16</v>
      </c>
      <c r="C6" s="5">
        <f t="shared" ref="C6:C10" si="0">B6*200</f>
        <v>3200</v>
      </c>
      <c r="D6" s="5">
        <v>0</v>
      </c>
      <c r="E6" s="5">
        <v>0</v>
      </c>
      <c r="F6" s="5">
        <f t="shared" ref="F6:F17" si="1">D6*1000/B6*12</f>
        <v>0</v>
      </c>
      <c r="G6" s="37">
        <f>D6*1000000/C6</f>
        <v>0</v>
      </c>
      <c r="H6" s="49">
        <f>+SUM($D$6:D7)*1000000/SUM($C$6:C7)</f>
        <v>0</v>
      </c>
      <c r="I6" s="49">
        <f>+H6/1000</f>
        <v>0</v>
      </c>
      <c r="J6" s="46">
        <f>+AVERAGE($D$6:D7)</f>
        <v>0</v>
      </c>
      <c r="K6" s="43" t="str">
        <f>+IF(J6=0,"Sin eventos registrados",30/J6)</f>
        <v>Sin eventos registrados</v>
      </c>
    </row>
    <row r="7" spans="1:18">
      <c r="A7" s="4">
        <v>46054</v>
      </c>
      <c r="B7" s="5"/>
      <c r="C7" s="5">
        <f t="shared" si="0"/>
        <v>0</v>
      </c>
      <c r="D7" s="5">
        <v>0</v>
      </c>
      <c r="E7" s="5">
        <v>0</v>
      </c>
      <c r="F7" s="5" t="e">
        <f t="shared" si="1"/>
        <v>#DIV/0!</v>
      </c>
      <c r="G7" s="37" t="e">
        <f>D7*1000000/C7</f>
        <v>#DIV/0!</v>
      </c>
      <c r="H7" s="49">
        <f>+SUM($D$6:D8)*1000000/SUM($C$6:C8)</f>
        <v>0</v>
      </c>
      <c r="I7" s="49">
        <f t="shared" ref="I7:I17" si="2">+H7/1000</f>
        <v>0</v>
      </c>
      <c r="J7" s="46">
        <f>+AVERAGE($D$6:D8)</f>
        <v>0</v>
      </c>
      <c r="K7" s="43" t="str">
        <f t="shared" ref="K7:K17" si="3">+IF(J7=0,"Sin eventos registrados",30/J7)</f>
        <v>Sin eventos registrados</v>
      </c>
    </row>
    <row r="8" spans="1:18">
      <c r="A8" s="4">
        <v>46082</v>
      </c>
      <c r="B8" s="5"/>
      <c r="C8" s="5">
        <f t="shared" si="0"/>
        <v>0</v>
      </c>
      <c r="D8" s="5">
        <v>0</v>
      </c>
      <c r="E8" s="5">
        <v>0</v>
      </c>
      <c r="F8" s="5" t="e">
        <f t="shared" si="1"/>
        <v>#DIV/0!</v>
      </c>
      <c r="G8" s="37" t="e">
        <f>D8*1000000/C8</f>
        <v>#DIV/0!</v>
      </c>
      <c r="H8" s="49">
        <f>+SUM($D$6:D9)*1000000/SUM($C$6:C9)</f>
        <v>0</v>
      </c>
      <c r="I8" s="49">
        <f t="shared" si="2"/>
        <v>0</v>
      </c>
      <c r="J8" s="46">
        <f>+AVERAGE($D$6:D9)</f>
        <v>0</v>
      </c>
      <c r="K8" s="43" t="str">
        <f t="shared" si="3"/>
        <v>Sin eventos registrados</v>
      </c>
    </row>
    <row r="9" spans="1:18">
      <c r="A9" s="4">
        <v>46113</v>
      </c>
      <c r="B9" s="5"/>
      <c r="C9" s="5">
        <f t="shared" si="0"/>
        <v>0</v>
      </c>
      <c r="D9" s="5">
        <v>0</v>
      </c>
      <c r="E9" s="5">
        <v>0</v>
      </c>
      <c r="F9" s="5" t="e">
        <f t="shared" si="1"/>
        <v>#DIV/0!</v>
      </c>
      <c r="G9" s="37" t="e">
        <f>D9*1000000/C9</f>
        <v>#DIV/0!</v>
      </c>
      <c r="H9" s="49">
        <f>+SUM($D$6:D10)*1000000/SUM($C$6:C10)</f>
        <v>0</v>
      </c>
      <c r="I9" s="49">
        <f>+H9/1000</f>
        <v>0</v>
      </c>
      <c r="J9" s="46">
        <f>+AVERAGE($D$6:D10)</f>
        <v>0</v>
      </c>
      <c r="K9" s="43" t="str">
        <f>+IF(J9=0,"Sin eventos registrados",30/J9)</f>
        <v>Sin eventos registrados</v>
      </c>
    </row>
    <row r="10" spans="1:18">
      <c r="A10" s="4">
        <v>46143</v>
      </c>
      <c r="B10" s="5"/>
      <c r="C10" s="5">
        <f t="shared" si="0"/>
        <v>0</v>
      </c>
      <c r="D10" s="5">
        <v>0</v>
      </c>
      <c r="E10" s="5">
        <v>0</v>
      </c>
      <c r="F10" s="5" t="e">
        <f t="shared" si="1"/>
        <v>#DIV/0!</v>
      </c>
      <c r="G10" s="37" t="e">
        <f t="shared" ref="G10:G17" si="4">D10*1000000/C10</f>
        <v>#DIV/0!</v>
      </c>
      <c r="H10" s="49">
        <f>+SUM($D$6:D11)*1000000/SUM($C$6:C11)</f>
        <v>0</v>
      </c>
      <c r="I10" s="49">
        <f t="shared" si="2"/>
        <v>0</v>
      </c>
      <c r="J10" s="46">
        <f>+AVERAGE($D$6:D11)</f>
        <v>0</v>
      </c>
      <c r="K10" s="43" t="str">
        <f>+IF(J10=0,"Sin eventos registrados",30/J10)</f>
        <v>Sin eventos registrados</v>
      </c>
    </row>
    <row r="11" spans="1:18">
      <c r="A11" s="4">
        <v>46174</v>
      </c>
      <c r="B11" s="5"/>
      <c r="C11" s="5">
        <f>B11*200</f>
        <v>0</v>
      </c>
      <c r="D11" s="5">
        <v>0</v>
      </c>
      <c r="E11" s="5">
        <v>0</v>
      </c>
      <c r="F11" s="5" t="e">
        <f t="shared" si="1"/>
        <v>#DIV/0!</v>
      </c>
      <c r="G11" s="37" t="e">
        <f>D11*1000000/C11</f>
        <v>#DIV/0!</v>
      </c>
      <c r="H11" s="49">
        <f>+SUM($D$6:D12)*1000000/SUM($C$6:C12)</f>
        <v>0</v>
      </c>
      <c r="I11" s="49">
        <f t="shared" si="2"/>
        <v>0</v>
      </c>
      <c r="J11" s="46">
        <f>+AVERAGE($D$6:D12)</f>
        <v>0</v>
      </c>
      <c r="K11" s="43" t="str">
        <f t="shared" si="3"/>
        <v>Sin eventos registrados</v>
      </c>
    </row>
    <row r="12" spans="1:18">
      <c r="A12" s="4">
        <v>46204</v>
      </c>
      <c r="B12" s="5"/>
      <c r="C12" s="5">
        <f t="shared" ref="C12:C17" si="5">B12*200</f>
        <v>0</v>
      </c>
      <c r="D12" s="5">
        <v>0</v>
      </c>
      <c r="E12" s="5">
        <v>0</v>
      </c>
      <c r="F12" s="5" t="e">
        <f>D12*1000/B12</f>
        <v>#DIV/0!</v>
      </c>
      <c r="G12" s="37" t="e">
        <f>D12*1000000/C12</f>
        <v>#DIV/0!</v>
      </c>
      <c r="H12" s="49">
        <f>+SUM($D$6:D13)*1000000/SUM($C$6:C13)</f>
        <v>0</v>
      </c>
      <c r="I12" s="49">
        <f t="shared" si="2"/>
        <v>0</v>
      </c>
      <c r="J12" s="46">
        <f>+AVERAGE($D$6:D13)</f>
        <v>0</v>
      </c>
      <c r="K12" s="43" t="str">
        <f t="shared" si="3"/>
        <v>Sin eventos registrados</v>
      </c>
    </row>
    <row r="13" spans="1:18">
      <c r="A13" s="4">
        <v>46235</v>
      </c>
      <c r="B13" s="5"/>
      <c r="C13" s="5">
        <f t="shared" si="5"/>
        <v>0</v>
      </c>
      <c r="D13" s="5">
        <v>0</v>
      </c>
      <c r="E13" s="5">
        <v>0</v>
      </c>
      <c r="F13" s="5" t="e">
        <f>D13*1000/B13*12</f>
        <v>#DIV/0!</v>
      </c>
      <c r="G13" s="37" t="e">
        <f t="shared" si="4"/>
        <v>#DIV/0!</v>
      </c>
      <c r="H13" s="49">
        <f>+SUM($D$6:D14)*1000000/SUM($C$6:C14)</f>
        <v>0</v>
      </c>
      <c r="I13" s="49">
        <f>+H13/1000</f>
        <v>0</v>
      </c>
      <c r="J13" s="46">
        <f>+AVERAGE($D$6:D14)</f>
        <v>0</v>
      </c>
      <c r="K13" s="43" t="str">
        <f t="shared" si="3"/>
        <v>Sin eventos registrados</v>
      </c>
    </row>
    <row r="14" spans="1:18">
      <c r="A14" s="4">
        <v>46266</v>
      </c>
      <c r="B14" s="5"/>
      <c r="C14" s="5">
        <f t="shared" si="5"/>
        <v>0</v>
      </c>
      <c r="D14" s="5">
        <v>0</v>
      </c>
      <c r="E14" s="5">
        <v>0</v>
      </c>
      <c r="F14" s="5" t="e">
        <f t="shared" si="1"/>
        <v>#DIV/0!</v>
      </c>
      <c r="G14" s="37" t="e">
        <f t="shared" si="4"/>
        <v>#DIV/0!</v>
      </c>
      <c r="H14" s="49">
        <f>+SUM($D$6:D15)*1000000/SUM($C$6:C15)</f>
        <v>0</v>
      </c>
      <c r="I14" s="49">
        <f t="shared" si="2"/>
        <v>0</v>
      </c>
      <c r="J14" s="46">
        <f>+AVERAGE($D$6:D15)</f>
        <v>0</v>
      </c>
      <c r="K14" s="43" t="str">
        <f t="shared" si="3"/>
        <v>Sin eventos registrados</v>
      </c>
    </row>
    <row r="15" spans="1:18">
      <c r="A15" s="4">
        <v>46296</v>
      </c>
      <c r="B15" s="5"/>
      <c r="C15" s="5">
        <f t="shared" si="5"/>
        <v>0</v>
      </c>
      <c r="D15" s="5">
        <v>0</v>
      </c>
      <c r="E15" s="5">
        <v>0</v>
      </c>
      <c r="F15" s="5" t="e">
        <f t="shared" si="1"/>
        <v>#DIV/0!</v>
      </c>
      <c r="G15" s="37" t="e">
        <f t="shared" si="4"/>
        <v>#DIV/0!</v>
      </c>
      <c r="H15" s="49">
        <f>+SUM($D$6:D16)*1000000/SUM($C$6:C16)</f>
        <v>0</v>
      </c>
      <c r="I15" s="49">
        <f t="shared" si="2"/>
        <v>0</v>
      </c>
      <c r="J15" s="46">
        <f>+AVERAGE($D$6:D16)</f>
        <v>0</v>
      </c>
      <c r="K15" s="43" t="str">
        <f t="shared" si="3"/>
        <v>Sin eventos registrados</v>
      </c>
    </row>
    <row r="16" spans="1:18">
      <c r="A16" s="4">
        <v>46327</v>
      </c>
      <c r="B16" s="5"/>
      <c r="C16" s="5">
        <f t="shared" si="5"/>
        <v>0</v>
      </c>
      <c r="D16" s="5">
        <v>0</v>
      </c>
      <c r="E16" s="5">
        <v>0</v>
      </c>
      <c r="F16" s="5" t="e">
        <f t="shared" si="1"/>
        <v>#DIV/0!</v>
      </c>
      <c r="G16" s="37" t="e">
        <f t="shared" si="4"/>
        <v>#DIV/0!</v>
      </c>
      <c r="H16" s="49">
        <f>+SUM($D$6:D17)*1000000/SUM($C$6:C17)</f>
        <v>0</v>
      </c>
      <c r="I16" s="49">
        <f t="shared" si="2"/>
        <v>0</v>
      </c>
      <c r="J16" s="46">
        <f>+AVERAGE($D$6:D17)</f>
        <v>0</v>
      </c>
      <c r="K16" s="43" t="str">
        <f t="shared" si="3"/>
        <v>Sin eventos registrados</v>
      </c>
    </row>
    <row r="17" spans="1:12">
      <c r="A17" s="4">
        <v>46357</v>
      </c>
      <c r="B17" s="5"/>
      <c r="C17" s="5">
        <f t="shared" si="5"/>
        <v>0</v>
      </c>
      <c r="D17" s="5">
        <v>0</v>
      </c>
      <c r="E17" s="5">
        <v>0</v>
      </c>
      <c r="F17" s="5" t="e">
        <f t="shared" si="1"/>
        <v>#DIV/0!</v>
      </c>
      <c r="G17" s="37" t="e">
        <f t="shared" si="4"/>
        <v>#DIV/0!</v>
      </c>
      <c r="H17" s="49">
        <f>+SUM($D$6:D18)*1000000/SUM($C$6:C18)</f>
        <v>0</v>
      </c>
      <c r="I17" s="49">
        <f t="shared" si="2"/>
        <v>0</v>
      </c>
      <c r="J17" s="46">
        <f>+AVERAGE($D$6:D18)</f>
        <v>0</v>
      </c>
      <c r="K17" s="43" t="str">
        <f t="shared" si="3"/>
        <v>Sin eventos registrados</v>
      </c>
    </row>
    <row r="18" spans="1:12">
      <c r="A18" s="4"/>
      <c r="B18" s="5"/>
      <c r="C18" s="5"/>
      <c r="D18" s="5"/>
      <c r="E18" s="5"/>
      <c r="F18" s="5"/>
    </row>
    <row r="19" spans="1:12">
      <c r="A19" s="3" t="s">
        <v>326</v>
      </c>
      <c r="B19" s="5">
        <f>SUM(B6:B17)/12</f>
        <v>1.3333333333333333</v>
      </c>
      <c r="C19" s="5">
        <f>SUM(C6:C17)</f>
        <v>3200</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31B34-895A-46C3-942B-0AA0B92FD9C1}">
  <sheetPr>
    <tabColor theme="6" tint="-0.499984740745262"/>
    <pageSetUpPr fitToPage="1"/>
  </sheetPr>
  <dimension ref="A1:R59"/>
  <sheetViews>
    <sheetView workbookViewId="0">
      <selection activeCell="B16" sqref="B16"/>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710937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341</v>
      </c>
      <c r="C2" s="9"/>
      <c r="F2" s="11"/>
      <c r="P2" s="1"/>
      <c r="Q2" s="9"/>
      <c r="R2" s="12"/>
    </row>
    <row r="3" spans="1:18" ht="21" customHeight="1">
      <c r="C3" s="9" t="s">
        <v>314</v>
      </c>
      <c r="H3" s="47" t="s">
        <v>315</v>
      </c>
      <c r="I3" s="47"/>
      <c r="K3" s="47" t="s">
        <v>315</v>
      </c>
    </row>
    <row r="4" spans="1:18" ht="48">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5</v>
      </c>
      <c r="C6" s="5">
        <f t="shared" ref="C6:C17" si="0">B6*8*22</f>
        <v>880</v>
      </c>
      <c r="D6" s="5">
        <v>0</v>
      </c>
      <c r="E6" s="5">
        <v>0</v>
      </c>
      <c r="F6" s="5">
        <f t="shared" ref="F6:F17" si="1">D6*1000/B6*12</f>
        <v>0</v>
      </c>
      <c r="G6" s="37">
        <f>D6*1000000/C6</f>
        <v>0</v>
      </c>
      <c r="H6" s="49">
        <f>+SUM($D$6:D7)*1000000/SUM($C$6:C7)</f>
        <v>0</v>
      </c>
      <c r="I6" s="49">
        <f>+H6/1000</f>
        <v>0</v>
      </c>
      <c r="J6" s="46">
        <f>+AVERAGE($D$6:D7)</f>
        <v>0</v>
      </c>
      <c r="K6" s="43" t="str">
        <f>+IF(J6=0,"Sin eventos registrados",30/J6)</f>
        <v>Sin eventos registrados</v>
      </c>
    </row>
    <row r="7" spans="1:18">
      <c r="A7" s="4">
        <v>46054</v>
      </c>
      <c r="B7" s="5"/>
      <c r="C7" s="5">
        <f t="shared" si="0"/>
        <v>0</v>
      </c>
      <c r="D7" s="5">
        <v>0</v>
      </c>
      <c r="E7" s="5">
        <v>0</v>
      </c>
      <c r="F7" s="5" t="e">
        <f t="shared" si="1"/>
        <v>#DIV/0!</v>
      </c>
      <c r="G7" s="37" t="e">
        <f>D7*1000000/C7</f>
        <v>#DIV/0!</v>
      </c>
      <c r="H7" s="49">
        <f>+SUM($D$6:D8)*1000000/SUM($C$6:C8)</f>
        <v>0</v>
      </c>
      <c r="I7" s="49">
        <f t="shared" ref="I7:I17" si="2">+H7/1000</f>
        <v>0</v>
      </c>
      <c r="J7" s="46">
        <f>+AVERAGE($D$6:D8)</f>
        <v>0</v>
      </c>
      <c r="K7" s="43" t="str">
        <f t="shared" ref="K7:K17" si="3">+IF(J7=0,"Sin eventos registrados",30/J7)</f>
        <v>Sin eventos registrados</v>
      </c>
    </row>
    <row r="8" spans="1:18">
      <c r="A8" s="4">
        <v>46082</v>
      </c>
      <c r="B8" s="5"/>
      <c r="C8" s="5">
        <f t="shared" si="0"/>
        <v>0</v>
      </c>
      <c r="D8" s="5">
        <v>0</v>
      </c>
      <c r="E8" s="5">
        <v>0</v>
      </c>
      <c r="F8" s="5" t="e">
        <f t="shared" si="1"/>
        <v>#DIV/0!</v>
      </c>
      <c r="G8" s="37" t="e">
        <f>D8*1000000/C8</f>
        <v>#DIV/0!</v>
      </c>
      <c r="H8" s="49">
        <f>+SUM($D$6:D9)*1000000/SUM($C$6:C9)</f>
        <v>0</v>
      </c>
      <c r="I8" s="49">
        <f t="shared" si="2"/>
        <v>0</v>
      </c>
      <c r="J8" s="46">
        <f>+AVERAGE($D$6:D9)</f>
        <v>0</v>
      </c>
      <c r="K8" s="43" t="str">
        <f t="shared" si="3"/>
        <v>Sin eventos registrados</v>
      </c>
    </row>
    <row r="9" spans="1:18">
      <c r="A9" s="4">
        <v>46113</v>
      </c>
      <c r="B9" s="5"/>
      <c r="C9" s="5">
        <f t="shared" si="0"/>
        <v>0</v>
      </c>
      <c r="D9" s="5">
        <v>0</v>
      </c>
      <c r="E9" s="5">
        <v>0</v>
      </c>
      <c r="F9" s="5" t="e">
        <f t="shared" si="1"/>
        <v>#DIV/0!</v>
      </c>
      <c r="G9" s="37" t="e">
        <f>D9*1000000/C9</f>
        <v>#DIV/0!</v>
      </c>
      <c r="H9" s="49">
        <f>+SUM($D$6:D10)*1000000/SUM($C$6:C10)</f>
        <v>0</v>
      </c>
      <c r="I9" s="49">
        <f>+H9/1000</f>
        <v>0</v>
      </c>
      <c r="J9" s="46">
        <f>+AVERAGE($D$6:D10)</f>
        <v>0</v>
      </c>
      <c r="K9" s="43" t="str">
        <f>+IF(J9=0,"Sin eventos registrados",30/J9)</f>
        <v>Sin eventos registrados</v>
      </c>
    </row>
    <row r="10" spans="1:18">
      <c r="A10" s="4">
        <v>46143</v>
      </c>
      <c r="B10" s="5"/>
      <c r="C10" s="5">
        <f>B10*200</f>
        <v>0</v>
      </c>
      <c r="D10" s="5">
        <v>0</v>
      </c>
      <c r="E10" s="5">
        <v>0</v>
      </c>
      <c r="F10" s="5" t="e">
        <f t="shared" si="1"/>
        <v>#DIV/0!</v>
      </c>
      <c r="G10" s="37" t="e">
        <f t="shared" ref="G10:G17" si="4">D10*1000000/C10</f>
        <v>#DIV/0!</v>
      </c>
      <c r="H10" s="49">
        <f>+SUM($D$6:D11)*1000000/SUM($C$6:C11)</f>
        <v>0</v>
      </c>
      <c r="I10" s="49">
        <f t="shared" si="2"/>
        <v>0</v>
      </c>
      <c r="J10" s="46">
        <f>+AVERAGE($D$6:D11)</f>
        <v>0</v>
      </c>
      <c r="K10" s="43" t="str">
        <f>+IF(J10=0,"Sin eventos registrados",30/J10)</f>
        <v>Sin eventos registrados</v>
      </c>
    </row>
    <row r="11" spans="1:18">
      <c r="A11" s="4">
        <v>46174</v>
      </c>
      <c r="B11" s="5"/>
      <c r="C11" s="5">
        <f t="shared" ref="C11:C12" si="5">B11*200</f>
        <v>0</v>
      </c>
      <c r="D11" s="5">
        <v>0</v>
      </c>
      <c r="E11" s="5">
        <v>0</v>
      </c>
      <c r="F11" s="5" t="e">
        <f t="shared" si="1"/>
        <v>#DIV/0!</v>
      </c>
      <c r="G11" s="37" t="e">
        <f>D11*1000000/C11</f>
        <v>#DIV/0!</v>
      </c>
      <c r="H11" s="49">
        <f>+SUM($D$6:D12)*1000000/SUM($C$6:C12)</f>
        <v>0</v>
      </c>
      <c r="I11" s="49">
        <f t="shared" si="2"/>
        <v>0</v>
      </c>
      <c r="J11" s="46">
        <f>+AVERAGE($D$6:D12)</f>
        <v>0</v>
      </c>
      <c r="K11" s="43" t="str">
        <f t="shared" si="3"/>
        <v>Sin eventos registrados</v>
      </c>
    </row>
    <row r="12" spans="1:18">
      <c r="A12" s="4">
        <v>46204</v>
      </c>
      <c r="B12" s="5"/>
      <c r="C12" s="5">
        <f t="shared" si="5"/>
        <v>0</v>
      </c>
      <c r="D12" s="5">
        <v>0</v>
      </c>
      <c r="E12" s="5">
        <v>0</v>
      </c>
      <c r="F12" s="5" t="e">
        <f>D12*1000/B12</f>
        <v>#DIV/0!</v>
      </c>
      <c r="G12" s="37" t="e">
        <f>D12*1000000/C12</f>
        <v>#DIV/0!</v>
      </c>
      <c r="H12" s="49">
        <f>+SUM($D$6:D13)*1000000/SUM($C$6:C13)</f>
        <v>0</v>
      </c>
      <c r="I12" s="49">
        <f t="shared" si="2"/>
        <v>0</v>
      </c>
      <c r="J12" s="46">
        <f>+AVERAGE($D$6:D13)</f>
        <v>0</v>
      </c>
      <c r="K12" s="43" t="str">
        <f t="shared" si="3"/>
        <v>Sin eventos registrados</v>
      </c>
    </row>
    <row r="13" spans="1:18">
      <c r="A13" s="4">
        <v>46235</v>
      </c>
      <c r="B13" s="5"/>
      <c r="C13" s="5">
        <f t="shared" si="0"/>
        <v>0</v>
      </c>
      <c r="D13" s="5">
        <v>0</v>
      </c>
      <c r="E13" s="5">
        <v>0</v>
      </c>
      <c r="F13" s="5" t="e">
        <f>D13*1000/B13*12</f>
        <v>#DIV/0!</v>
      </c>
      <c r="G13" s="37" t="e">
        <f t="shared" si="4"/>
        <v>#DIV/0!</v>
      </c>
      <c r="H13" s="49">
        <f>+SUM($D$6:D14)*1000000/SUM($C$6:C14)</f>
        <v>0</v>
      </c>
      <c r="I13" s="49">
        <f>+H13/1000</f>
        <v>0</v>
      </c>
      <c r="J13" s="46">
        <f>+AVERAGE($D$6:D14)</f>
        <v>0</v>
      </c>
      <c r="K13" s="43" t="str">
        <f t="shared" si="3"/>
        <v>Sin eventos registrados</v>
      </c>
    </row>
    <row r="14" spans="1:18">
      <c r="A14" s="4">
        <v>46266</v>
      </c>
      <c r="B14" s="5"/>
      <c r="C14" s="5">
        <f t="shared" si="0"/>
        <v>0</v>
      </c>
      <c r="D14" s="5">
        <v>0</v>
      </c>
      <c r="E14" s="5">
        <v>0</v>
      </c>
      <c r="F14" s="5" t="e">
        <f t="shared" si="1"/>
        <v>#DIV/0!</v>
      </c>
      <c r="G14" s="37" t="e">
        <f t="shared" si="4"/>
        <v>#DIV/0!</v>
      </c>
      <c r="H14" s="49">
        <f>+SUM($D$6:D15)*1000000/SUM($C$6:C15)</f>
        <v>0</v>
      </c>
      <c r="I14" s="49">
        <f t="shared" si="2"/>
        <v>0</v>
      </c>
      <c r="J14" s="46">
        <f>+AVERAGE($D$6:D15)</f>
        <v>0</v>
      </c>
      <c r="K14" s="43" t="str">
        <f t="shared" si="3"/>
        <v>Sin eventos registrados</v>
      </c>
    </row>
    <row r="15" spans="1:18">
      <c r="A15" s="4">
        <v>46296</v>
      </c>
      <c r="B15" s="5"/>
      <c r="C15" s="5">
        <f t="shared" si="0"/>
        <v>0</v>
      </c>
      <c r="D15" s="5">
        <v>0</v>
      </c>
      <c r="E15" s="5">
        <v>0</v>
      </c>
      <c r="F15" s="5" t="e">
        <f t="shared" si="1"/>
        <v>#DIV/0!</v>
      </c>
      <c r="G15" s="37" t="e">
        <f t="shared" si="4"/>
        <v>#DIV/0!</v>
      </c>
      <c r="H15" s="49">
        <f>+SUM($D$6:D16)*1000000/SUM($C$6:C16)</f>
        <v>0</v>
      </c>
      <c r="I15" s="49">
        <f t="shared" si="2"/>
        <v>0</v>
      </c>
      <c r="J15" s="46">
        <f>+AVERAGE($D$6:D16)</f>
        <v>0</v>
      </c>
      <c r="K15" s="43" t="str">
        <f t="shared" si="3"/>
        <v>Sin eventos registrados</v>
      </c>
    </row>
    <row r="16" spans="1:18">
      <c r="A16" s="4">
        <v>46327</v>
      </c>
      <c r="B16" s="5"/>
      <c r="C16" s="5">
        <f t="shared" si="0"/>
        <v>0</v>
      </c>
      <c r="D16" s="5">
        <v>0</v>
      </c>
      <c r="E16" s="5">
        <v>0</v>
      </c>
      <c r="F16" s="5" t="e">
        <f t="shared" si="1"/>
        <v>#DIV/0!</v>
      </c>
      <c r="G16" s="37" t="e">
        <f t="shared" si="4"/>
        <v>#DIV/0!</v>
      </c>
      <c r="H16" s="49">
        <f>+SUM($D$6:D17)*1000000/SUM($C$6:C17)</f>
        <v>0</v>
      </c>
      <c r="I16" s="49">
        <f t="shared" si="2"/>
        <v>0</v>
      </c>
      <c r="J16" s="46">
        <f>+AVERAGE($D$6:D17)</f>
        <v>0</v>
      </c>
      <c r="K16" s="43" t="str">
        <f t="shared" si="3"/>
        <v>Sin eventos registrados</v>
      </c>
    </row>
    <row r="17" spans="1:12">
      <c r="A17" s="4">
        <v>46357</v>
      </c>
      <c r="B17" s="5"/>
      <c r="C17" s="5">
        <f t="shared" si="0"/>
        <v>0</v>
      </c>
      <c r="D17" s="5">
        <v>0</v>
      </c>
      <c r="E17" s="5">
        <v>0</v>
      </c>
      <c r="F17" s="5" t="e">
        <f t="shared" si="1"/>
        <v>#DIV/0!</v>
      </c>
      <c r="G17" s="37" t="e">
        <f t="shared" si="4"/>
        <v>#DIV/0!</v>
      </c>
      <c r="H17" s="49">
        <f>+SUM($D$6:D18)*1000000/SUM($C$6:C18)</f>
        <v>0</v>
      </c>
      <c r="I17" s="49">
        <f t="shared" si="2"/>
        <v>0</v>
      </c>
      <c r="J17" s="46">
        <f>+AVERAGE($D$6:D18)</f>
        <v>0</v>
      </c>
      <c r="K17" s="43" t="str">
        <f t="shared" si="3"/>
        <v>Sin eventos registrados</v>
      </c>
    </row>
    <row r="18" spans="1:12">
      <c r="A18" s="4"/>
      <c r="B18" s="5"/>
      <c r="C18" s="5"/>
      <c r="D18" s="5"/>
      <c r="E18" s="5"/>
      <c r="F18" s="5"/>
    </row>
    <row r="19" spans="1:12">
      <c r="A19" s="3" t="s">
        <v>326</v>
      </c>
      <c r="B19" s="5">
        <f>SUM(B6:B17)/12</f>
        <v>0.41666666666666669</v>
      </c>
      <c r="C19" s="5">
        <f>SUM(C6:C17)</f>
        <v>880</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9ECE-123F-46D5-82FA-99125E4CFE49}">
  <sheetPr>
    <tabColor theme="6" tint="-0.499984740745262"/>
    <pageSetUpPr fitToPage="1"/>
  </sheetPr>
  <dimension ref="A1:R59"/>
  <sheetViews>
    <sheetView workbookViewId="0">
      <selection activeCell="B9" sqref="B9"/>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28515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342</v>
      </c>
      <c r="C2" s="9"/>
      <c r="F2" s="11"/>
      <c r="P2" s="1"/>
      <c r="Q2" s="9"/>
      <c r="R2" s="12"/>
    </row>
    <row r="3" spans="1:18" ht="21" customHeight="1">
      <c r="C3" s="9" t="s">
        <v>314</v>
      </c>
      <c r="H3" s="47" t="s">
        <v>315</v>
      </c>
      <c r="I3" s="47"/>
      <c r="K3" s="47" t="s">
        <v>315</v>
      </c>
    </row>
    <row r="4" spans="1:18" ht="60">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5</v>
      </c>
      <c r="C6" s="5">
        <f>B6*200</f>
        <v>1000</v>
      </c>
      <c r="D6" s="5">
        <v>0</v>
      </c>
      <c r="E6" s="5">
        <v>0</v>
      </c>
      <c r="F6" s="5">
        <f t="shared" ref="F6:F17" si="0">D6*1000/B6*12</f>
        <v>0</v>
      </c>
      <c r="G6" s="37">
        <f>D6*1000000/C6</f>
        <v>0</v>
      </c>
      <c r="H6" s="49" t="e">
        <f>+D7*1000000/C7</f>
        <v>#DIV/0!</v>
      </c>
      <c r="I6" s="49" t="e">
        <f>+H6/1000</f>
        <v>#DIV/0!</v>
      </c>
      <c r="J6" s="46">
        <f>+AVERAGE($D$6:D7)</f>
        <v>0</v>
      </c>
      <c r="K6" s="43" t="str">
        <f>+IF(J6=0,"Sin eventos registrados",30/J6)</f>
        <v>Sin eventos registrados</v>
      </c>
    </row>
    <row r="7" spans="1:18">
      <c r="A7" s="4">
        <v>46054</v>
      </c>
      <c r="B7" s="5"/>
      <c r="C7" s="5">
        <f>B7*200</f>
        <v>0</v>
      </c>
      <c r="D7" s="5">
        <v>0</v>
      </c>
      <c r="E7" s="5">
        <v>0</v>
      </c>
      <c r="F7" s="5" t="e">
        <f t="shared" si="0"/>
        <v>#DIV/0!</v>
      </c>
      <c r="G7" s="37" t="e">
        <f>D7*1000000/C7</f>
        <v>#DIV/0!</v>
      </c>
      <c r="H7" s="49">
        <f>+SUM($D$6:D8)*1000000/SUM($C$6:C8)</f>
        <v>0</v>
      </c>
      <c r="I7" s="49">
        <f t="shared" ref="I7:I17" si="1">+H7/1000</f>
        <v>0</v>
      </c>
      <c r="J7" s="46">
        <f>+AVERAGE($D$6:D8)</f>
        <v>0</v>
      </c>
      <c r="K7" s="43" t="str">
        <f t="shared" ref="K7:K17" si="2">+IF(J7=0,"Sin eventos registrados",30/J7)</f>
        <v>Sin eventos registrados</v>
      </c>
    </row>
    <row r="8" spans="1:18">
      <c r="A8" s="4">
        <v>46082</v>
      </c>
      <c r="B8" s="5"/>
      <c r="C8" s="5">
        <f t="shared" ref="C8:C10" si="3">B8*200</f>
        <v>0</v>
      </c>
      <c r="D8" s="5">
        <v>0</v>
      </c>
      <c r="E8" s="5">
        <v>0</v>
      </c>
      <c r="F8" s="5" t="e">
        <f t="shared" si="0"/>
        <v>#DIV/0!</v>
      </c>
      <c r="G8" s="37" t="e">
        <f>D8*1000000/C8</f>
        <v>#DIV/0!</v>
      </c>
      <c r="H8" s="49">
        <f>+SUM($D$6:D9)*1000000/SUM($C$6:C9)</f>
        <v>0</v>
      </c>
      <c r="I8" s="49">
        <f t="shared" si="1"/>
        <v>0</v>
      </c>
      <c r="J8" s="46">
        <f>+AVERAGE($D$6:D9)</f>
        <v>0</v>
      </c>
      <c r="K8" s="43" t="str">
        <f t="shared" si="2"/>
        <v>Sin eventos registrados</v>
      </c>
    </row>
    <row r="9" spans="1:18">
      <c r="A9" s="4">
        <v>46113</v>
      </c>
      <c r="B9" s="5"/>
      <c r="C9" s="5">
        <f t="shared" si="3"/>
        <v>0</v>
      </c>
      <c r="D9" s="5">
        <v>0</v>
      </c>
      <c r="E9" s="5">
        <v>0</v>
      </c>
      <c r="F9" s="5" t="e">
        <f t="shared" si="0"/>
        <v>#DIV/0!</v>
      </c>
      <c r="G9" s="37" t="e">
        <f>D9*1000000/C9</f>
        <v>#DIV/0!</v>
      </c>
      <c r="H9" s="49">
        <f>+SUM($D$6:D10)*1000000/SUM($C$6:C10)</f>
        <v>0</v>
      </c>
      <c r="I9" s="49">
        <f>+H9/1000</f>
        <v>0</v>
      </c>
      <c r="J9" s="46">
        <f>+AVERAGE($D$6:D10)</f>
        <v>0</v>
      </c>
      <c r="K9" s="43" t="str">
        <f>+IF(J9=0,"Sin eventos registrados",30/J9)</f>
        <v>Sin eventos registrados</v>
      </c>
    </row>
    <row r="10" spans="1:18">
      <c r="A10" s="4">
        <v>46143</v>
      </c>
      <c r="B10" s="5"/>
      <c r="C10" s="5">
        <f t="shared" si="3"/>
        <v>0</v>
      </c>
      <c r="D10" s="5">
        <v>0</v>
      </c>
      <c r="E10" s="5">
        <v>0</v>
      </c>
      <c r="F10" s="5"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46174</v>
      </c>
      <c r="B11" s="5"/>
      <c r="C11" s="5">
        <f>B11*200</f>
        <v>0</v>
      </c>
      <c r="D11" s="5">
        <v>0</v>
      </c>
      <c r="E11" s="5">
        <v>0</v>
      </c>
      <c r="F11" s="5" t="e">
        <f t="shared" si="0"/>
        <v>#DIV/0!</v>
      </c>
      <c r="G11" s="37" t="e">
        <f>D11*1000000/C11</f>
        <v>#DIV/0!</v>
      </c>
      <c r="H11" s="49">
        <f>+SUM($D$6:D12)*1000000/SUM($C$6:C12)</f>
        <v>1000</v>
      </c>
      <c r="I11" s="49">
        <f t="shared" si="1"/>
        <v>1</v>
      </c>
      <c r="J11" s="46">
        <f>+AVERAGE($D$6:D12)</f>
        <v>0.14285714285714285</v>
      </c>
      <c r="K11" s="43">
        <f t="shared" si="2"/>
        <v>210</v>
      </c>
    </row>
    <row r="12" spans="1:18">
      <c r="A12" s="4">
        <v>46204</v>
      </c>
      <c r="B12" s="5"/>
      <c r="C12" s="5">
        <f>B12*200</f>
        <v>0</v>
      </c>
      <c r="D12" s="5">
        <v>1</v>
      </c>
      <c r="E12" s="5">
        <v>2</v>
      </c>
      <c r="F12" s="5" t="e">
        <f>D12*1000/B12</f>
        <v>#DIV/0!</v>
      </c>
      <c r="G12" s="37" t="e">
        <f>D12*1000000/C12</f>
        <v>#DIV/0!</v>
      </c>
      <c r="H12" s="49">
        <f>+SUM($D$6:D13)*1000000/SUM($C$6:C13)</f>
        <v>1000</v>
      </c>
      <c r="I12" s="49">
        <f t="shared" si="1"/>
        <v>1</v>
      </c>
      <c r="J12" s="46">
        <f>+AVERAGE($D$6:D13)</f>
        <v>0.125</v>
      </c>
      <c r="K12" s="43">
        <f t="shared" si="2"/>
        <v>240</v>
      </c>
    </row>
    <row r="13" spans="1:18">
      <c r="A13" s="4">
        <v>46235</v>
      </c>
      <c r="B13" s="5"/>
      <c r="C13" s="5">
        <f t="shared" ref="C13:C14" si="5">B13*200</f>
        <v>0</v>
      </c>
      <c r="D13" s="5">
        <v>0</v>
      </c>
      <c r="E13" s="5">
        <v>0</v>
      </c>
      <c r="F13" s="5" t="e">
        <f>D13*1000/B13*12</f>
        <v>#DIV/0!</v>
      </c>
      <c r="G13" s="37" t="e">
        <f t="shared" si="4"/>
        <v>#DIV/0!</v>
      </c>
      <c r="H13" s="49">
        <f>+SUM($D$6:D14)*1000000/SUM($C$6:C14)</f>
        <v>1000</v>
      </c>
      <c r="I13" s="49">
        <f>+H13/1000</f>
        <v>1</v>
      </c>
      <c r="J13" s="46">
        <f>+AVERAGE($D$6:D14)</f>
        <v>0.1111111111111111</v>
      </c>
      <c r="K13" s="43">
        <f t="shared" si="2"/>
        <v>270</v>
      </c>
    </row>
    <row r="14" spans="1:18">
      <c r="A14" s="4">
        <v>46266</v>
      </c>
      <c r="B14" s="5"/>
      <c r="C14" s="5">
        <f t="shared" si="5"/>
        <v>0</v>
      </c>
      <c r="D14" s="5">
        <v>0</v>
      </c>
      <c r="E14" s="5">
        <v>0</v>
      </c>
      <c r="F14" s="5" t="e">
        <f t="shared" si="0"/>
        <v>#DIV/0!</v>
      </c>
      <c r="G14" s="37" t="e">
        <f t="shared" si="4"/>
        <v>#DIV/0!</v>
      </c>
      <c r="H14" s="49">
        <f>+SUM($D$6:D15)*1000000/SUM($C$6:C15)</f>
        <v>1000</v>
      </c>
      <c r="I14" s="49">
        <f t="shared" si="1"/>
        <v>1</v>
      </c>
      <c r="J14" s="46">
        <f>+AVERAGE($D$6:D15)</f>
        <v>0.1</v>
      </c>
      <c r="K14" s="43">
        <f t="shared" si="2"/>
        <v>300</v>
      </c>
    </row>
    <row r="15" spans="1:18">
      <c r="A15" s="4">
        <v>46296</v>
      </c>
      <c r="B15" s="5"/>
      <c r="C15" s="5">
        <f t="shared" ref="C15:C25" si="6">B15*8*22</f>
        <v>0</v>
      </c>
      <c r="D15" s="5">
        <v>0</v>
      </c>
      <c r="E15" s="5">
        <v>0</v>
      </c>
      <c r="F15" s="5" t="e">
        <f t="shared" si="0"/>
        <v>#DIV/0!</v>
      </c>
      <c r="G15" s="37" t="e">
        <f t="shared" si="4"/>
        <v>#DIV/0!</v>
      </c>
      <c r="H15" s="49">
        <f>+SUM($D$6:D16)*1000000/SUM($C$6:C16)</f>
        <v>1000</v>
      </c>
      <c r="I15" s="49">
        <f t="shared" si="1"/>
        <v>1</v>
      </c>
      <c r="J15" s="46">
        <f>+AVERAGE($D$6:D16)</f>
        <v>9.0909090909090912E-2</v>
      </c>
      <c r="K15" s="43">
        <f t="shared" si="2"/>
        <v>330</v>
      </c>
    </row>
    <row r="16" spans="1:18">
      <c r="A16" s="4">
        <v>46327</v>
      </c>
      <c r="B16" s="5"/>
      <c r="C16" s="5">
        <f t="shared" si="6"/>
        <v>0</v>
      </c>
      <c r="D16" s="5">
        <v>0</v>
      </c>
      <c r="E16" s="5">
        <v>0</v>
      </c>
      <c r="F16" s="5" t="e">
        <f t="shared" si="0"/>
        <v>#DIV/0!</v>
      </c>
      <c r="G16" s="37" t="e">
        <f t="shared" si="4"/>
        <v>#DIV/0!</v>
      </c>
      <c r="H16" s="49">
        <f>+SUM($D$6:D17)*1000000/SUM($C$6:C17)</f>
        <v>1000</v>
      </c>
      <c r="I16" s="49">
        <f t="shared" si="1"/>
        <v>1</v>
      </c>
      <c r="J16" s="46">
        <f>+AVERAGE($D$6:D17)</f>
        <v>8.3333333333333329E-2</v>
      </c>
      <c r="K16" s="43">
        <f t="shared" si="2"/>
        <v>360</v>
      </c>
    </row>
    <row r="17" spans="1:12">
      <c r="A17" s="4">
        <v>46357</v>
      </c>
      <c r="B17" s="5"/>
      <c r="C17" s="5">
        <f t="shared" si="6"/>
        <v>0</v>
      </c>
      <c r="D17" s="5">
        <v>0</v>
      </c>
      <c r="E17" s="5">
        <v>0</v>
      </c>
      <c r="F17" s="5" t="e">
        <f t="shared" si="0"/>
        <v>#DIV/0!</v>
      </c>
      <c r="G17" s="37" t="e">
        <f t="shared" si="4"/>
        <v>#DIV/0!</v>
      </c>
      <c r="H17" s="49">
        <f>+SUM($D$6:D18)*1000000/SUM($C$6:C18)</f>
        <v>1000</v>
      </c>
      <c r="I17" s="49">
        <f t="shared" si="1"/>
        <v>1</v>
      </c>
      <c r="J17" s="46">
        <f>+AVERAGE($D$6:D18)</f>
        <v>8.3333333333333329E-2</v>
      </c>
      <c r="K17" s="43">
        <f t="shared" si="2"/>
        <v>360</v>
      </c>
    </row>
    <row r="18" spans="1:12">
      <c r="A18" s="4"/>
      <c r="B18" s="5"/>
      <c r="C18" s="5"/>
      <c r="D18" s="5"/>
      <c r="E18" s="5"/>
      <c r="F18" s="5"/>
    </row>
    <row r="19" spans="1:12">
      <c r="A19" s="3" t="s">
        <v>326</v>
      </c>
      <c r="B19" s="5">
        <f>SUM(B6:B17)/12</f>
        <v>0.41666666666666669</v>
      </c>
      <c r="C19" s="5">
        <f>SUM(C6:C17)</f>
        <v>1000</v>
      </c>
      <c r="D19" s="5">
        <f>SUM(D6:D17)</f>
        <v>1</v>
      </c>
      <c r="E19" s="10">
        <f>SUM(E6:E17)</f>
        <v>2</v>
      </c>
      <c r="F19" s="5">
        <f>D19*1000/B19</f>
        <v>2400</v>
      </c>
    </row>
    <row r="20" spans="1:12">
      <c r="A20" s="2"/>
    </row>
    <row r="21" spans="1:12">
      <c r="A21" s="2"/>
    </row>
    <row r="22" spans="1:12" ht="18" customHeight="1">
      <c r="A22" s="16" t="s">
        <v>327</v>
      </c>
      <c r="B22" s="6"/>
      <c r="C22" s="7" t="s">
        <v>328</v>
      </c>
      <c r="D22" s="18" t="s">
        <v>329</v>
      </c>
      <c r="E22" s="20">
        <f>D19*1000/B19</f>
        <v>2400</v>
      </c>
      <c r="F22" s="215" t="s">
        <v>330</v>
      </c>
      <c r="H22" s="74"/>
      <c r="I22" s="74"/>
      <c r="J22" s="74"/>
      <c r="K22" s="74"/>
      <c r="L22" s="74"/>
    </row>
    <row r="23" spans="1:12" ht="20.25">
      <c r="A23" s="16"/>
      <c r="B23" s="6"/>
      <c r="C23" s="8" t="s">
        <v>331</v>
      </c>
      <c r="D23" s="18"/>
      <c r="E23" s="21"/>
      <c r="F23" s="215"/>
      <c r="H23" s="74"/>
      <c r="I23" s="74"/>
      <c r="J23" s="74"/>
      <c r="K23" s="74"/>
      <c r="L23" s="74"/>
    </row>
    <row r="24" spans="1:12" ht="20.25">
      <c r="A24" s="17"/>
      <c r="C24" s="2"/>
      <c r="D24" s="19"/>
      <c r="E24" s="22"/>
      <c r="F24" s="24"/>
      <c r="H24" s="74"/>
      <c r="I24" s="74"/>
      <c r="J24" s="74"/>
      <c r="K24" s="74"/>
      <c r="L24" s="74"/>
    </row>
    <row r="25" spans="1:12" ht="20.25" customHeight="1">
      <c r="A25" s="16" t="s">
        <v>332</v>
      </c>
      <c r="B25" s="6"/>
      <c r="C25" s="7" t="s">
        <v>333</v>
      </c>
      <c r="D25" s="18" t="s">
        <v>329</v>
      </c>
      <c r="E25" s="20">
        <f>D19*1000000/C19</f>
        <v>1000</v>
      </c>
      <c r="F25" s="215" t="s">
        <v>334</v>
      </c>
      <c r="H25" s="74"/>
      <c r="I25" s="74"/>
      <c r="J25" s="74"/>
      <c r="K25" s="74"/>
      <c r="L25" s="74"/>
    </row>
    <row r="26" spans="1:12" ht="20.25">
      <c r="A26" s="16"/>
      <c r="B26" s="6"/>
      <c r="C26" s="8" t="s">
        <v>335</v>
      </c>
      <c r="D26" s="18"/>
      <c r="E26" s="21"/>
      <c r="F26" s="215"/>
      <c r="H26" s="74"/>
      <c r="I26" s="74"/>
      <c r="J26" s="74"/>
      <c r="K26" s="74"/>
      <c r="L26" s="74"/>
    </row>
    <row r="27" spans="1:12" ht="20.25">
      <c r="A27" s="17"/>
      <c r="D27" s="19"/>
      <c r="E27" s="22"/>
      <c r="F27" s="24"/>
      <c r="H27" s="74"/>
      <c r="I27" s="74"/>
      <c r="J27" s="74"/>
      <c r="K27" s="74"/>
      <c r="L27" s="74"/>
    </row>
    <row r="28" spans="1:12" ht="20.25" customHeight="1">
      <c r="A28" s="16" t="s">
        <v>336</v>
      </c>
      <c r="B28" s="6"/>
      <c r="C28" s="7" t="s">
        <v>319</v>
      </c>
      <c r="D28" s="18" t="s">
        <v>329</v>
      </c>
      <c r="E28" s="23">
        <f>E19/B19</f>
        <v>4.8</v>
      </c>
      <c r="F28" s="215" t="s">
        <v>337</v>
      </c>
      <c r="H28" s="74"/>
      <c r="I28" s="74"/>
      <c r="J28" s="74"/>
      <c r="K28" s="74"/>
      <c r="L28" s="74"/>
    </row>
    <row r="29" spans="1:12" ht="20.25">
      <c r="A29" s="16" t="s">
        <v>338</v>
      </c>
      <c r="B29" s="6"/>
      <c r="C29" s="8" t="s">
        <v>331</v>
      </c>
      <c r="D29" s="18"/>
      <c r="E29" s="21"/>
      <c r="F29" s="215"/>
      <c r="H29" s="74"/>
      <c r="I29" s="74"/>
      <c r="J29" s="74"/>
      <c r="K29" s="74"/>
      <c r="L29" s="74"/>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ADA17-7B4C-4650-B275-E00CBC01ECD7}">
  <sheetPr>
    <tabColor theme="6" tint="-0.499984740745262"/>
    <pageSetUpPr fitToPage="1"/>
  </sheetPr>
  <dimension ref="A1:R59"/>
  <sheetViews>
    <sheetView workbookViewId="0">
      <selection activeCell="H23" sqref="H23"/>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28515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342</v>
      </c>
      <c r="C2" s="9"/>
      <c r="F2" s="11"/>
      <c r="P2" s="1"/>
      <c r="Q2" s="9"/>
      <c r="R2" s="12"/>
    </row>
    <row r="3" spans="1:18" ht="21" customHeight="1">
      <c r="C3" s="9" t="s">
        <v>314</v>
      </c>
      <c r="H3" s="47" t="s">
        <v>315</v>
      </c>
      <c r="I3" s="47"/>
      <c r="K3" s="47" t="s">
        <v>315</v>
      </c>
    </row>
    <row r="4" spans="1:18" ht="60">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68</v>
      </c>
      <c r="C6" s="5">
        <f>B6*200</f>
        <v>13600</v>
      </c>
      <c r="D6" s="5">
        <v>0</v>
      </c>
      <c r="E6" s="5">
        <v>0</v>
      </c>
      <c r="F6" s="5">
        <f t="shared" ref="F6:F17" si="0">D6*1000/B6*12</f>
        <v>0</v>
      </c>
      <c r="G6" s="37">
        <f>D6*1000000/C6</f>
        <v>0</v>
      </c>
      <c r="H6" s="49">
        <f>+SUM($D$6:D7)*1000000/SUM($C$6:C7)</f>
        <v>0</v>
      </c>
      <c r="I6" s="49">
        <f>+H6/1000</f>
        <v>0</v>
      </c>
      <c r="J6" s="46">
        <f>+AVERAGE($D$6:D7)</f>
        <v>0</v>
      </c>
      <c r="K6" s="43" t="str">
        <f>+IF(J6=0,"Sin eventos registrados",30/J6)</f>
        <v>Sin eventos registrados</v>
      </c>
    </row>
    <row r="7" spans="1:18">
      <c r="A7" s="4">
        <v>46054</v>
      </c>
      <c r="B7" s="5"/>
      <c r="C7" s="5">
        <f>B7*200</f>
        <v>0</v>
      </c>
      <c r="D7" s="5">
        <v>0</v>
      </c>
      <c r="E7" s="5">
        <v>0</v>
      </c>
      <c r="F7" s="5" t="e">
        <f t="shared" si="0"/>
        <v>#DIV/0!</v>
      </c>
      <c r="G7" s="37" t="e">
        <f>D7*1000000/C7</f>
        <v>#DIV/0!</v>
      </c>
      <c r="H7" s="49">
        <f>+SUM($D$6:D8)*1000000/SUM($C$6:C8)</f>
        <v>0</v>
      </c>
      <c r="I7" s="49">
        <f t="shared" ref="I7:I17" si="1">+H7/1000</f>
        <v>0</v>
      </c>
      <c r="J7" s="46">
        <f>+AVERAGE($D$6:D8)</f>
        <v>0</v>
      </c>
      <c r="K7" s="43" t="str">
        <f t="shared" ref="K7:K17" si="2">+IF(J7=0,"Sin eventos registrados",30/J7)</f>
        <v>Sin eventos registrados</v>
      </c>
    </row>
    <row r="8" spans="1:18">
      <c r="A8" s="4">
        <v>46082</v>
      </c>
      <c r="B8" s="5"/>
      <c r="C8" s="5">
        <f t="shared" ref="C8:C10" si="3">B8*200</f>
        <v>0</v>
      </c>
      <c r="D8" s="5">
        <v>0</v>
      </c>
      <c r="E8" s="5">
        <v>0</v>
      </c>
      <c r="F8" s="5" t="e">
        <f t="shared" si="0"/>
        <v>#DIV/0!</v>
      </c>
      <c r="G8" s="37" t="e">
        <f>D8*1000000/C8</f>
        <v>#DIV/0!</v>
      </c>
      <c r="H8" s="49">
        <f>+SUM($D$6:D9)*1000000/SUM($C$6:C9)</f>
        <v>0</v>
      </c>
      <c r="I8" s="49">
        <f t="shared" si="1"/>
        <v>0</v>
      </c>
      <c r="J8" s="46">
        <f>+AVERAGE($D$6:D9)</f>
        <v>0</v>
      </c>
      <c r="K8" s="43" t="str">
        <f t="shared" si="2"/>
        <v>Sin eventos registrados</v>
      </c>
    </row>
    <row r="9" spans="1:18">
      <c r="A9" s="4">
        <v>46113</v>
      </c>
      <c r="B9" s="5"/>
      <c r="C9" s="5">
        <f t="shared" si="3"/>
        <v>0</v>
      </c>
      <c r="D9" s="5">
        <v>0</v>
      </c>
      <c r="E9" s="5">
        <v>0</v>
      </c>
      <c r="F9" s="5" t="e">
        <f t="shared" si="0"/>
        <v>#DIV/0!</v>
      </c>
      <c r="G9" s="37" t="e">
        <f>D9*1000000/C9</f>
        <v>#DIV/0!</v>
      </c>
      <c r="H9" s="49">
        <f>+SUM($D$6:D10)*1000000/SUM($C$6:C10)</f>
        <v>0</v>
      </c>
      <c r="I9" s="49">
        <f>+H9/1000</f>
        <v>0</v>
      </c>
      <c r="J9" s="46">
        <f>+AVERAGE($D$6:D10)</f>
        <v>0</v>
      </c>
      <c r="K9" s="43" t="str">
        <f>+IF(J9=0,"Sin eventos registrados",30/J9)</f>
        <v>Sin eventos registrados</v>
      </c>
    </row>
    <row r="10" spans="1:18">
      <c r="A10" s="4">
        <v>46143</v>
      </c>
      <c r="B10" s="5"/>
      <c r="C10" s="5">
        <f t="shared" si="3"/>
        <v>0</v>
      </c>
      <c r="D10" s="5">
        <v>0</v>
      </c>
      <c r="E10" s="5">
        <v>0</v>
      </c>
      <c r="F10" s="5"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46174</v>
      </c>
      <c r="B11" s="5"/>
      <c r="C11" s="5">
        <f>B11*200</f>
        <v>0</v>
      </c>
      <c r="D11" s="5">
        <v>0</v>
      </c>
      <c r="E11" s="5">
        <v>0</v>
      </c>
      <c r="F11" s="5" t="e">
        <f t="shared" si="0"/>
        <v>#DIV/0!</v>
      </c>
      <c r="G11" s="37" t="e">
        <f>D11*1000000/C11</f>
        <v>#DIV/0!</v>
      </c>
      <c r="H11" s="49">
        <f>+SUM($D$6:D12)*1000000/SUM($C$6:C12)</f>
        <v>0</v>
      </c>
      <c r="I11" s="49">
        <f t="shared" si="1"/>
        <v>0</v>
      </c>
      <c r="J11" s="46">
        <f>+AVERAGE($D$6:D12)</f>
        <v>0</v>
      </c>
      <c r="K11" s="43" t="str">
        <f t="shared" si="2"/>
        <v>Sin eventos registrados</v>
      </c>
    </row>
    <row r="12" spans="1:18">
      <c r="A12" s="4">
        <v>46204</v>
      </c>
      <c r="B12" s="5"/>
      <c r="C12" s="5">
        <f>B12*200</f>
        <v>0</v>
      </c>
      <c r="D12" s="5">
        <v>0</v>
      </c>
      <c r="E12" s="5">
        <v>0</v>
      </c>
      <c r="F12" s="5" t="e">
        <f>D12*1000/B12</f>
        <v>#DIV/0!</v>
      </c>
      <c r="G12" s="37" t="e">
        <f>D12*1000000/C12</f>
        <v>#DIV/0!</v>
      </c>
      <c r="H12" s="49">
        <f>+SUM($D$6:D13)*1000000/SUM($C$6:C13)</f>
        <v>0</v>
      </c>
      <c r="I12" s="49">
        <f t="shared" si="1"/>
        <v>0</v>
      </c>
      <c r="J12" s="46">
        <f>+AVERAGE($D$6:D13)</f>
        <v>0</v>
      </c>
      <c r="K12" s="43" t="str">
        <f t="shared" si="2"/>
        <v>Sin eventos registrados</v>
      </c>
    </row>
    <row r="13" spans="1:18">
      <c r="A13" s="4">
        <v>46235</v>
      </c>
      <c r="B13" s="5"/>
      <c r="C13" s="5">
        <f t="shared" ref="C13:C14" si="5">B13*200</f>
        <v>0</v>
      </c>
      <c r="D13" s="5">
        <v>0</v>
      </c>
      <c r="E13" s="5">
        <v>0</v>
      </c>
      <c r="F13" s="5" t="e">
        <f>D13*1000/B13*12</f>
        <v>#DIV/0!</v>
      </c>
      <c r="G13" s="37" t="e">
        <f t="shared" si="4"/>
        <v>#DIV/0!</v>
      </c>
      <c r="H13" s="49">
        <f>+SUM($D$6:D14)*1000000/SUM($C$6:C14)</f>
        <v>0</v>
      </c>
      <c r="I13" s="49">
        <f>+H13/1000</f>
        <v>0</v>
      </c>
      <c r="J13" s="46">
        <f>+AVERAGE($D$6:D14)</f>
        <v>0</v>
      </c>
      <c r="K13" s="43" t="str">
        <f t="shared" si="2"/>
        <v>Sin eventos registrados</v>
      </c>
    </row>
    <row r="14" spans="1:18">
      <c r="A14" s="4">
        <v>46266</v>
      </c>
      <c r="B14" s="5"/>
      <c r="C14" s="5">
        <f t="shared" si="5"/>
        <v>0</v>
      </c>
      <c r="D14" s="5">
        <v>0</v>
      </c>
      <c r="E14" s="5">
        <v>0</v>
      </c>
      <c r="F14" s="5" t="e">
        <f t="shared" si="0"/>
        <v>#DIV/0!</v>
      </c>
      <c r="G14" s="37" t="e">
        <f t="shared" si="4"/>
        <v>#DIV/0!</v>
      </c>
      <c r="H14" s="49">
        <f>+SUM($D$6:D15)*1000000/SUM($C$6:C15)</f>
        <v>0</v>
      </c>
      <c r="I14" s="49">
        <f t="shared" si="1"/>
        <v>0</v>
      </c>
      <c r="J14" s="46">
        <f>+AVERAGE($D$6:D15)</f>
        <v>0</v>
      </c>
      <c r="K14" s="43" t="str">
        <f t="shared" si="2"/>
        <v>Sin eventos registrados</v>
      </c>
    </row>
    <row r="15" spans="1:18">
      <c r="A15" s="4">
        <v>46296</v>
      </c>
      <c r="B15" s="5"/>
      <c r="C15" s="5">
        <f t="shared" ref="C15:C25" si="6">B15*8*22</f>
        <v>0</v>
      </c>
      <c r="D15" s="5">
        <v>0</v>
      </c>
      <c r="E15" s="5">
        <v>0</v>
      </c>
      <c r="F15" s="5" t="e">
        <f t="shared" si="0"/>
        <v>#DIV/0!</v>
      </c>
      <c r="G15" s="37" t="e">
        <f t="shared" si="4"/>
        <v>#DIV/0!</v>
      </c>
      <c r="H15" s="49">
        <f>+SUM($D$6:D16)*1000000/SUM($C$6:C16)</f>
        <v>0</v>
      </c>
      <c r="I15" s="49">
        <f t="shared" si="1"/>
        <v>0</v>
      </c>
      <c r="J15" s="46">
        <f>+AVERAGE($D$6:D16)</f>
        <v>0</v>
      </c>
      <c r="K15" s="43" t="str">
        <f t="shared" si="2"/>
        <v>Sin eventos registrados</v>
      </c>
    </row>
    <row r="16" spans="1:18">
      <c r="A16" s="4">
        <v>46327</v>
      </c>
      <c r="B16" s="5"/>
      <c r="C16" s="5">
        <f t="shared" si="6"/>
        <v>0</v>
      </c>
      <c r="D16" s="5">
        <v>0</v>
      </c>
      <c r="E16" s="5">
        <v>0</v>
      </c>
      <c r="F16" s="5" t="e">
        <f t="shared" si="0"/>
        <v>#DIV/0!</v>
      </c>
      <c r="G16" s="37" t="e">
        <f t="shared" si="4"/>
        <v>#DIV/0!</v>
      </c>
      <c r="H16" s="49">
        <f>+SUM($D$6:D17)*1000000/SUM($C$6:C17)</f>
        <v>0</v>
      </c>
      <c r="I16" s="49">
        <f t="shared" si="1"/>
        <v>0</v>
      </c>
      <c r="J16" s="46">
        <f>+AVERAGE($D$6:D17)</f>
        <v>0</v>
      </c>
      <c r="K16" s="43" t="str">
        <f t="shared" si="2"/>
        <v>Sin eventos registrados</v>
      </c>
    </row>
    <row r="17" spans="1:12">
      <c r="A17" s="4">
        <v>46357</v>
      </c>
      <c r="B17" s="5"/>
      <c r="C17" s="5">
        <f t="shared" si="6"/>
        <v>0</v>
      </c>
      <c r="D17" s="5">
        <v>0</v>
      </c>
      <c r="E17" s="5">
        <v>0</v>
      </c>
      <c r="F17" s="5" t="e">
        <f t="shared" si="0"/>
        <v>#DIV/0!</v>
      </c>
      <c r="G17" s="37" t="e">
        <f t="shared" si="4"/>
        <v>#DIV/0!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SUM(B6:B17)/12</f>
        <v>5.666666666666667</v>
      </c>
      <c r="C19" s="5">
        <f>SUM(C6:C17)</f>
        <v>13600</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4"/>
      <c r="K22" s="74"/>
      <c r="L22" s="74"/>
    </row>
    <row r="23" spans="1:12" ht="20.25">
      <c r="A23" s="16"/>
      <c r="B23" s="6"/>
      <c r="C23" s="8" t="s">
        <v>331</v>
      </c>
      <c r="D23" s="18"/>
      <c r="E23" s="21"/>
      <c r="F23" s="215"/>
      <c r="H23" s="74"/>
      <c r="I23" s="74"/>
      <c r="J23" s="74"/>
      <c r="K23" s="74"/>
      <c r="L23" s="74"/>
    </row>
    <row r="24" spans="1:12" ht="20.25">
      <c r="A24" s="17"/>
      <c r="C24" s="2"/>
      <c r="D24" s="19"/>
      <c r="E24" s="22"/>
      <c r="F24" s="24"/>
      <c r="H24" s="74"/>
      <c r="I24" s="74"/>
      <c r="J24" s="74"/>
      <c r="K24" s="74"/>
      <c r="L24" s="74"/>
    </row>
    <row r="25" spans="1:12" ht="20.25" customHeight="1">
      <c r="A25" s="16" t="s">
        <v>332</v>
      </c>
      <c r="B25" s="6"/>
      <c r="C25" s="7" t="s">
        <v>333</v>
      </c>
      <c r="D25" s="18" t="s">
        <v>329</v>
      </c>
      <c r="E25" s="20">
        <f>D19*1000000/C19</f>
        <v>0</v>
      </c>
      <c r="F25" s="215" t="s">
        <v>334</v>
      </c>
      <c r="H25" s="74"/>
      <c r="I25" s="74"/>
      <c r="J25" s="74"/>
      <c r="K25" s="74"/>
      <c r="L25" s="74"/>
    </row>
    <row r="26" spans="1:12" ht="20.25">
      <c r="A26" s="16"/>
      <c r="B26" s="6"/>
      <c r="C26" s="8" t="s">
        <v>335</v>
      </c>
      <c r="D26" s="18"/>
      <c r="E26" s="21"/>
      <c r="F26" s="215"/>
      <c r="H26" s="74"/>
      <c r="I26" s="74"/>
      <c r="J26" s="74"/>
      <c r="K26" s="74"/>
      <c r="L26" s="74"/>
    </row>
    <row r="27" spans="1:12" ht="20.25">
      <c r="A27" s="17"/>
      <c r="D27" s="19"/>
      <c r="E27" s="22"/>
      <c r="F27" s="24"/>
      <c r="H27" s="74"/>
      <c r="I27" s="74"/>
      <c r="J27" s="74"/>
      <c r="K27" s="74"/>
      <c r="L27" s="74"/>
    </row>
    <row r="28" spans="1:12" ht="20.25" customHeight="1">
      <c r="A28" s="16" t="s">
        <v>336</v>
      </c>
      <c r="B28" s="6"/>
      <c r="C28" s="7" t="s">
        <v>319</v>
      </c>
      <c r="D28" s="18" t="s">
        <v>329</v>
      </c>
      <c r="E28" s="23">
        <f>E19/B19</f>
        <v>0</v>
      </c>
      <c r="F28" s="215" t="s">
        <v>337</v>
      </c>
      <c r="H28" s="74"/>
      <c r="I28" s="74"/>
      <c r="J28" s="74"/>
      <c r="K28" s="74"/>
      <c r="L28" s="74"/>
    </row>
    <row r="29" spans="1:12" ht="20.25">
      <c r="A29" s="16" t="s">
        <v>338</v>
      </c>
      <c r="B29" s="6"/>
      <c r="C29" s="8" t="s">
        <v>331</v>
      </c>
      <c r="D29" s="18"/>
      <c r="E29" s="21"/>
      <c r="F29" s="215"/>
      <c r="H29" s="74"/>
      <c r="I29" s="74"/>
      <c r="J29" s="74"/>
      <c r="K29" s="74"/>
      <c r="L29" s="74"/>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E6BE-9441-47F9-865A-19A16BA159BE}">
  <sheetPr>
    <tabColor theme="6" tint="-0.499984740745262"/>
    <pageSetUpPr fitToPage="1"/>
  </sheetPr>
  <dimension ref="A1:R59"/>
  <sheetViews>
    <sheetView workbookViewId="0">
      <selection activeCell="F4" sqref="F4"/>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343</v>
      </c>
      <c r="C2" s="9"/>
      <c r="F2" s="11"/>
      <c r="P2" s="1"/>
      <c r="Q2" s="9"/>
      <c r="R2" s="12"/>
    </row>
    <row r="3" spans="1:18" ht="21" customHeight="1">
      <c r="C3" s="9" t="s">
        <v>314</v>
      </c>
      <c r="H3" s="47" t="s">
        <v>315</v>
      </c>
      <c r="I3" s="47"/>
      <c r="K3" s="47" t="s">
        <v>315</v>
      </c>
    </row>
    <row r="4" spans="1:18" ht="107.25">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18</v>
      </c>
      <c r="C6" s="41">
        <f>B6*200</f>
        <v>3600</v>
      </c>
      <c r="D6" s="203">
        <v>0</v>
      </c>
      <c r="E6" s="5">
        <v>0</v>
      </c>
      <c r="F6" s="38">
        <f>D6*1000/B6*12</f>
        <v>0</v>
      </c>
      <c r="G6" s="37">
        <f>D6*1000000/C6</f>
        <v>0</v>
      </c>
      <c r="H6" s="49">
        <f>+SUM($D$6:D7)*1000000/SUM($C$6:C7)</f>
        <v>0</v>
      </c>
      <c r="I6" s="49">
        <f>+H6/1000</f>
        <v>0</v>
      </c>
      <c r="J6" s="46">
        <f>+AVERAGE($D$6:D7)</f>
        <v>0</v>
      </c>
      <c r="K6" s="43" t="str">
        <f>+IF(J6=0,"Sin eventos registrados",30/J6)</f>
        <v>Sin eventos registrados</v>
      </c>
    </row>
    <row r="7" spans="1:18">
      <c r="A7" s="4">
        <v>46054</v>
      </c>
      <c r="B7" s="5"/>
      <c r="C7" s="41">
        <f t="shared" ref="C7:C12" si="0">B7*200</f>
        <v>0</v>
      </c>
      <c r="D7" s="203">
        <v>0</v>
      </c>
      <c r="E7" s="5">
        <v>0</v>
      </c>
      <c r="F7" s="38" t="e">
        <f t="shared" ref="F7:F17" si="1">D7*1000/B7*12</f>
        <v>#DIV/0!</v>
      </c>
      <c r="G7" s="37" t="e">
        <f>D7*1000000/C7</f>
        <v>#DIV/0!</v>
      </c>
      <c r="H7" s="49">
        <f>+SUM($D$6:D8)*1000000/SUM($C$6:C8)</f>
        <v>0</v>
      </c>
      <c r="I7" s="49">
        <f t="shared" ref="I7:I17" si="2">+H7/1000</f>
        <v>0</v>
      </c>
      <c r="J7" s="46">
        <f>+AVERAGE($D$6:D8)</f>
        <v>0</v>
      </c>
      <c r="K7" s="43" t="str">
        <f t="shared" ref="K7:K17" si="3">+IF(J7=0,"Sin eventos registrados",30/J7)</f>
        <v>Sin eventos registrados</v>
      </c>
    </row>
    <row r="8" spans="1:18">
      <c r="A8" s="4">
        <v>46082</v>
      </c>
      <c r="B8" s="5"/>
      <c r="C8" s="41">
        <f t="shared" si="0"/>
        <v>0</v>
      </c>
      <c r="D8" s="203">
        <v>0</v>
      </c>
      <c r="E8" s="5">
        <v>0</v>
      </c>
      <c r="F8" s="38" t="e">
        <f t="shared" si="1"/>
        <v>#DIV/0!</v>
      </c>
      <c r="G8" s="37" t="e">
        <f>D8*1000000/C8</f>
        <v>#DIV/0!</v>
      </c>
      <c r="H8" s="49">
        <f>+SUM($D$6:D9)*1000000/SUM($C$6:C9)</f>
        <v>0</v>
      </c>
      <c r="I8" s="49">
        <f t="shared" si="2"/>
        <v>0</v>
      </c>
      <c r="J8" s="46">
        <f>+AVERAGE($D$6:D9)</f>
        <v>0</v>
      </c>
      <c r="K8" s="43" t="str">
        <f t="shared" si="3"/>
        <v>Sin eventos registrados</v>
      </c>
    </row>
    <row r="9" spans="1:18">
      <c r="A9" s="4">
        <v>46113</v>
      </c>
      <c r="B9" s="5"/>
      <c r="C9" s="41">
        <f t="shared" si="0"/>
        <v>0</v>
      </c>
      <c r="D9" s="203">
        <v>0</v>
      </c>
      <c r="E9" s="5">
        <v>0</v>
      </c>
      <c r="F9" s="38" t="e">
        <f t="shared" si="1"/>
        <v>#DIV/0!</v>
      </c>
      <c r="G9" s="37" t="e">
        <f>D9*1000000/C9</f>
        <v>#DIV/0!</v>
      </c>
      <c r="H9" s="49">
        <f>+SUM($D$6:D10)*1000000/SUM($C$6:C10)</f>
        <v>0</v>
      </c>
      <c r="I9" s="49">
        <f>+H9/1000</f>
        <v>0</v>
      </c>
      <c r="J9" s="46">
        <f>+AVERAGE($D$6:D10)</f>
        <v>0</v>
      </c>
      <c r="K9" s="43" t="str">
        <f>+IF(J9=0,"Sin eventos registrados",30/J9)</f>
        <v>Sin eventos registrados</v>
      </c>
    </row>
    <row r="10" spans="1:18">
      <c r="A10" s="4">
        <v>46143</v>
      </c>
      <c r="B10" s="5"/>
      <c r="C10" s="41">
        <f t="shared" si="0"/>
        <v>0</v>
      </c>
      <c r="D10" s="203">
        <v>0</v>
      </c>
      <c r="E10" s="5">
        <v>0</v>
      </c>
      <c r="F10" s="38" t="e">
        <f>D10*1000/B10*12</f>
        <v>#DIV/0!</v>
      </c>
      <c r="G10" s="37" t="e">
        <f t="shared" ref="G10:G17" si="4">D10*1000000/C10</f>
        <v>#DIV/0!</v>
      </c>
      <c r="H10" s="49">
        <f>+SUM($D$6:D11)*1000000/SUM($C$6:C11)</f>
        <v>0</v>
      </c>
      <c r="I10" s="49">
        <f t="shared" si="2"/>
        <v>0</v>
      </c>
      <c r="J10" s="46">
        <f>+AVERAGE($D$6:D11)</f>
        <v>0</v>
      </c>
      <c r="K10" s="43" t="str">
        <f>+IF(J10=0,"Sin eventos registrados",30/J10)</f>
        <v>Sin eventos registrados</v>
      </c>
    </row>
    <row r="11" spans="1:18">
      <c r="A11" s="4">
        <v>46174</v>
      </c>
      <c r="B11" s="5"/>
      <c r="C11" s="41">
        <f>B11*200</f>
        <v>0</v>
      </c>
      <c r="D11" s="203">
        <v>0</v>
      </c>
      <c r="E11" s="5">
        <v>0</v>
      </c>
      <c r="F11" s="38" t="e">
        <f>D11*1000/B11</f>
        <v>#DIV/0!</v>
      </c>
      <c r="G11" s="37" t="e">
        <f>D11*1000000/C11</f>
        <v>#DIV/0!</v>
      </c>
      <c r="H11" s="49">
        <f>+SUM($D$6:D12)*1000000/SUM($C$6:C12)</f>
        <v>0</v>
      </c>
      <c r="I11" s="49">
        <f t="shared" si="2"/>
        <v>0</v>
      </c>
      <c r="J11" s="46">
        <f>+AVERAGE($D$6:D12)</f>
        <v>0</v>
      </c>
      <c r="K11" s="43" t="str">
        <f t="shared" si="3"/>
        <v>Sin eventos registrados</v>
      </c>
    </row>
    <row r="12" spans="1:18">
      <c r="A12" s="4">
        <v>46204</v>
      </c>
      <c r="B12" s="5"/>
      <c r="C12" s="41">
        <f t="shared" si="0"/>
        <v>0</v>
      </c>
      <c r="D12" s="203">
        <v>0</v>
      </c>
      <c r="E12" s="5">
        <v>0</v>
      </c>
      <c r="F12" s="38" t="e">
        <f>D12*1000/B12*12</f>
        <v>#DIV/0!</v>
      </c>
      <c r="G12" s="37" t="e">
        <f t="shared" si="4"/>
        <v>#DIV/0!</v>
      </c>
      <c r="H12" s="49">
        <f>+SUM($D$6:D13)*1000000/SUM($C$6:C13)</f>
        <v>0</v>
      </c>
      <c r="I12" s="49">
        <f t="shared" si="2"/>
        <v>0</v>
      </c>
      <c r="J12" s="46">
        <f>+AVERAGE($D$6:D13)</f>
        <v>0</v>
      </c>
      <c r="K12" s="43" t="str">
        <f t="shared" si="3"/>
        <v>Sin eventos registrados</v>
      </c>
    </row>
    <row r="13" spans="1:18">
      <c r="A13" s="4">
        <v>46235</v>
      </c>
      <c r="B13" s="5"/>
      <c r="C13" s="41">
        <f>B13*200</f>
        <v>0</v>
      </c>
      <c r="D13" s="203">
        <v>0</v>
      </c>
      <c r="E13" s="5">
        <v>0</v>
      </c>
      <c r="F13" s="38" t="e">
        <f t="shared" si="1"/>
        <v>#DIV/0!</v>
      </c>
      <c r="G13" s="37" t="e">
        <f t="shared" si="4"/>
        <v>#DIV/0!</v>
      </c>
      <c r="H13" s="49">
        <f>+SUM($D$6:D14)*1000000/SUM($C$6:C14)</f>
        <v>0</v>
      </c>
      <c r="I13" s="49">
        <f>+H13/1000</f>
        <v>0</v>
      </c>
      <c r="J13" s="46">
        <f>+AVERAGE($D$6:D14)</f>
        <v>0</v>
      </c>
      <c r="K13" s="43" t="str">
        <f t="shared" si="3"/>
        <v>Sin eventos registrados</v>
      </c>
    </row>
    <row r="14" spans="1:18">
      <c r="A14" s="4">
        <v>46266</v>
      </c>
      <c r="B14" s="5"/>
      <c r="C14" s="41">
        <f t="shared" ref="C14:C17" si="5">B14*8*22</f>
        <v>0</v>
      </c>
      <c r="D14" s="203">
        <v>0</v>
      </c>
      <c r="E14" s="5">
        <v>0</v>
      </c>
      <c r="F14" s="38" t="e">
        <f t="shared" si="1"/>
        <v>#DIV/0!</v>
      </c>
      <c r="G14" s="37" t="e">
        <f t="shared" si="4"/>
        <v>#DIV/0!</v>
      </c>
      <c r="H14" s="49">
        <f>+SUM($D$6:D15)*1000000/SUM($C$6:C15)</f>
        <v>0</v>
      </c>
      <c r="I14" s="49">
        <f t="shared" si="2"/>
        <v>0</v>
      </c>
      <c r="J14" s="46">
        <f>+AVERAGE($D$6:D15)</f>
        <v>0</v>
      </c>
      <c r="K14" s="43" t="str">
        <f t="shared" si="3"/>
        <v>Sin eventos registrados</v>
      </c>
    </row>
    <row r="15" spans="1:18">
      <c r="A15" s="4">
        <v>46296</v>
      </c>
      <c r="B15" s="5"/>
      <c r="C15" s="41">
        <f t="shared" si="5"/>
        <v>0</v>
      </c>
      <c r="D15" s="203">
        <v>0</v>
      </c>
      <c r="E15" s="5">
        <v>0</v>
      </c>
      <c r="F15" s="38" t="e">
        <f t="shared" si="1"/>
        <v>#DIV/0!</v>
      </c>
      <c r="G15" s="37" t="e">
        <f t="shared" si="4"/>
        <v>#DIV/0!</v>
      </c>
      <c r="H15" s="49">
        <f>+SUM($D$6:D16)*1000000/SUM($C$6:C16)</f>
        <v>0</v>
      </c>
      <c r="I15" s="49">
        <f t="shared" si="2"/>
        <v>0</v>
      </c>
      <c r="J15" s="46">
        <f>+AVERAGE($D$6:D16)</f>
        <v>0</v>
      </c>
      <c r="K15" s="43" t="str">
        <f t="shared" si="3"/>
        <v>Sin eventos registrados</v>
      </c>
    </row>
    <row r="16" spans="1:18">
      <c r="A16" s="4">
        <v>46327</v>
      </c>
      <c r="B16" s="5"/>
      <c r="C16" s="41">
        <f t="shared" si="5"/>
        <v>0</v>
      </c>
      <c r="D16" s="203">
        <v>0</v>
      </c>
      <c r="E16" s="5">
        <v>0</v>
      </c>
      <c r="F16" s="38" t="e">
        <f t="shared" si="1"/>
        <v>#DIV/0!</v>
      </c>
      <c r="G16" s="37" t="e">
        <f t="shared" si="4"/>
        <v>#DIV/0!</v>
      </c>
      <c r="H16" s="49">
        <f>+SUM($D$6:D17)*1000000/SUM($C$6:C17)</f>
        <v>0</v>
      </c>
      <c r="I16" s="49">
        <f t="shared" si="2"/>
        <v>0</v>
      </c>
      <c r="J16" s="46">
        <f>+AVERAGE($D$6:D17)</f>
        <v>0</v>
      </c>
      <c r="K16" s="43" t="str">
        <f t="shared" si="3"/>
        <v>Sin eventos registrados</v>
      </c>
    </row>
    <row r="17" spans="1:12">
      <c r="A17" s="4">
        <v>46357</v>
      </c>
      <c r="B17" s="5"/>
      <c r="C17" s="41">
        <f t="shared" si="5"/>
        <v>0</v>
      </c>
      <c r="D17" s="203">
        <v>0</v>
      </c>
      <c r="E17" s="5">
        <v>0</v>
      </c>
      <c r="F17" s="38" t="e">
        <f t="shared" si="1"/>
        <v>#DIV/0!</v>
      </c>
      <c r="G17" s="37" t="e">
        <f t="shared" si="4"/>
        <v>#DIV/0!</v>
      </c>
      <c r="H17" s="49">
        <f>+SUM($D$6:D18)*1000000/SUM($C$6:C18)</f>
        <v>0</v>
      </c>
      <c r="I17" s="49">
        <f t="shared" si="2"/>
        <v>0</v>
      </c>
      <c r="J17" s="46">
        <f>+AVERAGE($D$6:D18)</f>
        <v>0</v>
      </c>
      <c r="K17" s="43" t="str">
        <f t="shared" si="3"/>
        <v>Sin eventos registrados</v>
      </c>
    </row>
    <row r="18" spans="1:12">
      <c r="A18" s="4"/>
      <c r="B18" s="5">
        <v>0</v>
      </c>
      <c r="C18" s="5"/>
      <c r="D18" s="5"/>
      <c r="E18" s="5"/>
      <c r="F18" s="38"/>
      <c r="G18" s="37"/>
    </row>
    <row r="19" spans="1:12">
      <c r="A19" s="3" t="s">
        <v>326</v>
      </c>
      <c r="B19" s="5">
        <f>SUM(B6:B17)/12</f>
        <v>1.5</v>
      </c>
      <c r="C19" s="5">
        <f>SUM(C6:C17)</f>
        <v>3600</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A656F-0ED9-4911-B392-393E79C8AFEA}">
  <sheetPr>
    <tabColor theme="6" tint="-0.499984740745262"/>
    <pageSetUpPr fitToPage="1"/>
  </sheetPr>
  <dimension ref="A1:R59"/>
  <sheetViews>
    <sheetView workbookViewId="0">
      <selection activeCell="D12" sqref="D12"/>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344</v>
      </c>
      <c r="C2" s="9"/>
      <c r="F2" s="11"/>
      <c r="P2" s="1"/>
      <c r="Q2" s="9"/>
      <c r="R2" s="12"/>
    </row>
    <row r="3" spans="1:18" ht="21" customHeight="1">
      <c r="C3" s="9" t="s">
        <v>314</v>
      </c>
      <c r="H3" s="47" t="s">
        <v>315</v>
      </c>
      <c r="I3" s="47"/>
      <c r="K3" s="47" t="s">
        <v>315</v>
      </c>
    </row>
    <row r="4" spans="1:18" ht="107.25">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9</v>
      </c>
      <c r="C6" s="5">
        <f>B6*200</f>
        <v>1800</v>
      </c>
      <c r="D6" s="203">
        <v>0</v>
      </c>
      <c r="E6" s="5">
        <v>0</v>
      </c>
      <c r="F6" s="5">
        <f t="shared" ref="F6:F17" si="0">D6*1000/B6*12</f>
        <v>0</v>
      </c>
      <c r="G6" s="37">
        <f>D6*1000000/C6</f>
        <v>0</v>
      </c>
      <c r="H6" s="49">
        <f>+SUM($D$6:D7)*1000000/SUM($C$6:C7)</f>
        <v>0</v>
      </c>
      <c r="I6" s="49">
        <f>+H6/1000</f>
        <v>0</v>
      </c>
      <c r="J6" s="46">
        <f>+AVERAGE($D$6:D7)</f>
        <v>0</v>
      </c>
      <c r="K6" s="43" t="str">
        <f>+IF(J6=0,"Sin eventos registrados",30/J6)</f>
        <v>Sin eventos registrados</v>
      </c>
    </row>
    <row r="7" spans="1:18">
      <c r="A7" s="4">
        <v>46054</v>
      </c>
      <c r="B7" s="5"/>
      <c r="C7" s="5">
        <f>B7*200</f>
        <v>0</v>
      </c>
      <c r="D7" s="203">
        <v>0</v>
      </c>
      <c r="E7" s="5">
        <v>0</v>
      </c>
      <c r="F7" s="5" t="e">
        <f t="shared" si="0"/>
        <v>#DIV/0!</v>
      </c>
      <c r="G7" s="37" t="e">
        <f>D7*1000000/C7</f>
        <v>#DIV/0!</v>
      </c>
      <c r="H7" s="49">
        <f>+SUM($D$6:D8)*1000000/SUM($C$6:C8)</f>
        <v>0</v>
      </c>
      <c r="I7" s="49">
        <f t="shared" ref="I7:I17" si="1">+H7/1000</f>
        <v>0</v>
      </c>
      <c r="J7" s="46">
        <f>+AVERAGE($D$6:D8)</f>
        <v>0</v>
      </c>
      <c r="K7" s="43" t="str">
        <f t="shared" ref="K7:K17" si="2">+IF(J7=0,"Sin eventos registrados",30/J7)</f>
        <v>Sin eventos registrados</v>
      </c>
    </row>
    <row r="8" spans="1:18">
      <c r="A8" s="4">
        <v>46082</v>
      </c>
      <c r="B8" s="5"/>
      <c r="C8" s="5">
        <f>B8*200</f>
        <v>0</v>
      </c>
      <c r="D8" s="203">
        <v>0</v>
      </c>
      <c r="E8" s="5">
        <v>0</v>
      </c>
      <c r="F8" s="5" t="e">
        <f t="shared" si="0"/>
        <v>#DIV/0!</v>
      </c>
      <c r="G8" s="37" t="e">
        <f>D8*1000000/C8</f>
        <v>#DIV/0!</v>
      </c>
      <c r="H8" s="49">
        <f>+SUM($D$6:D9)*1000000/SUM($C$6:C9)</f>
        <v>0</v>
      </c>
      <c r="I8" s="49">
        <f t="shared" si="1"/>
        <v>0</v>
      </c>
      <c r="J8" s="46">
        <f>+AVERAGE($D$6:D9)</f>
        <v>0</v>
      </c>
      <c r="K8" s="43" t="str">
        <f t="shared" si="2"/>
        <v>Sin eventos registrados</v>
      </c>
    </row>
    <row r="9" spans="1:18">
      <c r="A9" s="4">
        <v>46113</v>
      </c>
      <c r="B9" s="5"/>
      <c r="C9" s="5">
        <f t="shared" ref="C9:C10" si="3">B9*200</f>
        <v>0</v>
      </c>
      <c r="D9" s="203">
        <v>0</v>
      </c>
      <c r="E9" s="5">
        <v>0</v>
      </c>
      <c r="F9" s="5" t="e">
        <f t="shared" si="0"/>
        <v>#DIV/0!</v>
      </c>
      <c r="G9" s="37" t="e">
        <f>D9*1000000/C9</f>
        <v>#DIV/0!</v>
      </c>
      <c r="H9" s="49">
        <f>+SUM($D$6:D10)*1000000/SUM($C$6:C10)</f>
        <v>0</v>
      </c>
      <c r="I9" s="49">
        <f>+H9/1000</f>
        <v>0</v>
      </c>
      <c r="J9" s="46">
        <f>+AVERAGE($D$6:D10)</f>
        <v>0</v>
      </c>
      <c r="K9" s="43" t="str">
        <f>+IF(J9=0,"Sin eventos registrados",30/J9)</f>
        <v>Sin eventos registrados</v>
      </c>
    </row>
    <row r="10" spans="1:18">
      <c r="A10" s="4">
        <v>46143</v>
      </c>
      <c r="B10" s="5"/>
      <c r="C10" s="5">
        <f t="shared" si="3"/>
        <v>0</v>
      </c>
      <c r="D10" s="203">
        <v>0</v>
      </c>
      <c r="E10" s="5">
        <v>0</v>
      </c>
      <c r="F10" s="38"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46174</v>
      </c>
      <c r="B11" s="5"/>
      <c r="C11" s="41">
        <f>B11*200</f>
        <v>0</v>
      </c>
      <c r="D11" s="203">
        <v>0</v>
      </c>
      <c r="E11" s="5">
        <v>0</v>
      </c>
      <c r="F11" s="38" t="e">
        <f>D11*1000/B11</f>
        <v>#DIV/0!</v>
      </c>
      <c r="G11" s="37" t="e">
        <f>D11*1000000/C11</f>
        <v>#DIV/0!</v>
      </c>
      <c r="H11" s="49">
        <f>+SUM($D$6:D12)*1000000/SUM($C$6:C12)</f>
        <v>0</v>
      </c>
      <c r="I11" s="49">
        <f t="shared" si="1"/>
        <v>0</v>
      </c>
      <c r="J11" s="46">
        <f>+AVERAGE($D$6:D12)</f>
        <v>0</v>
      </c>
      <c r="K11" s="43" t="str">
        <f t="shared" si="2"/>
        <v>Sin eventos registrados</v>
      </c>
    </row>
    <row r="12" spans="1:18">
      <c r="A12" s="4">
        <v>46204</v>
      </c>
      <c r="B12" s="5"/>
      <c r="C12" s="41">
        <f>B12*200</f>
        <v>0</v>
      </c>
      <c r="D12" s="203">
        <v>0</v>
      </c>
      <c r="E12" s="5">
        <v>0</v>
      </c>
      <c r="F12" s="38" t="e">
        <f>D12*1000/B12*12</f>
        <v>#DIV/0!</v>
      </c>
      <c r="G12" s="37" t="e">
        <f t="shared" si="4"/>
        <v>#DIV/0!</v>
      </c>
      <c r="H12" s="49">
        <f>+SUM($D$6:D13)*1000000/SUM($C$6:C13)</f>
        <v>0</v>
      </c>
      <c r="I12" s="49">
        <f t="shared" si="1"/>
        <v>0</v>
      </c>
      <c r="J12" s="46">
        <f>+AVERAGE($D$6:D13)</f>
        <v>0</v>
      </c>
      <c r="K12" s="43" t="str">
        <f t="shared" si="2"/>
        <v>Sin eventos registrados</v>
      </c>
    </row>
    <row r="13" spans="1:18">
      <c r="A13" s="4">
        <v>46235</v>
      </c>
      <c r="B13" s="5"/>
      <c r="C13" s="41">
        <f t="shared" ref="C13:C15" si="5">B13*200</f>
        <v>0</v>
      </c>
      <c r="D13" s="203">
        <v>0</v>
      </c>
      <c r="E13" s="5">
        <v>0</v>
      </c>
      <c r="F13" s="38" t="e">
        <f t="shared" si="0"/>
        <v>#DIV/0!</v>
      </c>
      <c r="G13" s="37" t="e">
        <f t="shared" si="4"/>
        <v>#DIV/0!</v>
      </c>
      <c r="H13" s="49">
        <f>+SUM($D$6:D14)*1000000/SUM($C$6:C14)</f>
        <v>0</v>
      </c>
      <c r="I13" s="49">
        <f>+H13/1000</f>
        <v>0</v>
      </c>
      <c r="J13" s="46">
        <f>+AVERAGE($D$6:D14)</f>
        <v>0</v>
      </c>
      <c r="K13" s="43" t="str">
        <f t="shared" si="2"/>
        <v>Sin eventos registrados</v>
      </c>
    </row>
    <row r="14" spans="1:18">
      <c r="A14" s="4">
        <v>46266</v>
      </c>
      <c r="B14" s="5"/>
      <c r="C14" s="41">
        <f t="shared" si="5"/>
        <v>0</v>
      </c>
      <c r="D14" s="203">
        <v>0</v>
      </c>
      <c r="E14" s="5">
        <v>0</v>
      </c>
      <c r="F14" s="38" t="e">
        <f t="shared" si="0"/>
        <v>#DIV/0!</v>
      </c>
      <c r="G14" s="37" t="e">
        <f t="shared" si="4"/>
        <v>#DIV/0!</v>
      </c>
      <c r="H14" s="49">
        <f>+SUM($D$6:D15)*1000000/SUM($C$6:C15)</f>
        <v>0</v>
      </c>
      <c r="I14" s="49">
        <f t="shared" si="1"/>
        <v>0</v>
      </c>
      <c r="J14" s="46">
        <f>+AVERAGE($D$6:D15)</f>
        <v>0</v>
      </c>
      <c r="K14" s="43" t="str">
        <f t="shared" si="2"/>
        <v>Sin eventos registrados</v>
      </c>
    </row>
    <row r="15" spans="1:18">
      <c r="A15" s="4">
        <v>46296</v>
      </c>
      <c r="B15" s="5"/>
      <c r="C15" s="41">
        <f t="shared" si="5"/>
        <v>0</v>
      </c>
      <c r="D15" s="203">
        <v>0</v>
      </c>
      <c r="E15" s="5">
        <v>0</v>
      </c>
      <c r="F15" s="38" t="e">
        <f t="shared" si="0"/>
        <v>#DIV/0!</v>
      </c>
      <c r="G15" s="37" t="e">
        <f t="shared" si="4"/>
        <v>#DIV/0!</v>
      </c>
      <c r="H15" s="49">
        <f>+SUM($D$6:D16)*1000000/SUM($C$6:C16)</f>
        <v>0</v>
      </c>
      <c r="I15" s="49">
        <f t="shared" si="1"/>
        <v>0</v>
      </c>
      <c r="J15" s="46">
        <f>+AVERAGE($D$6:D16)</f>
        <v>0</v>
      </c>
      <c r="K15" s="43" t="str">
        <f t="shared" si="2"/>
        <v>Sin eventos registrados</v>
      </c>
    </row>
    <row r="16" spans="1:18">
      <c r="A16" s="4">
        <v>46327</v>
      </c>
      <c r="B16" s="5"/>
      <c r="C16" s="41">
        <f t="shared" ref="C16:C19" si="6">B16*8*22</f>
        <v>0</v>
      </c>
      <c r="D16" s="203">
        <v>0</v>
      </c>
      <c r="E16" s="5">
        <v>0</v>
      </c>
      <c r="F16" s="38" t="e">
        <f t="shared" si="0"/>
        <v>#DIV/0!</v>
      </c>
      <c r="G16" s="37" t="e">
        <f t="shared" si="4"/>
        <v>#DIV/0!</v>
      </c>
      <c r="H16" s="49">
        <f>+SUM($D$6:D17)*1000000/SUM($C$6:C17)</f>
        <v>0</v>
      </c>
      <c r="I16" s="49">
        <f t="shared" si="1"/>
        <v>0</v>
      </c>
      <c r="J16" s="46">
        <f>+AVERAGE($D$6:D17)</f>
        <v>0</v>
      </c>
      <c r="K16" s="43" t="str">
        <f t="shared" si="2"/>
        <v>Sin eventos registrados</v>
      </c>
    </row>
    <row r="17" spans="1:12">
      <c r="A17" s="4">
        <v>46357</v>
      </c>
      <c r="B17" s="5"/>
      <c r="C17" s="41">
        <f>B17*8*22</f>
        <v>0</v>
      </c>
      <c r="D17" s="203">
        <v>0</v>
      </c>
      <c r="E17" s="5">
        <v>0</v>
      </c>
      <c r="F17" s="38" t="e">
        <f t="shared" si="0"/>
        <v>#DIV/0!</v>
      </c>
      <c r="G17" s="37" t="e">
        <f t="shared" si="4"/>
        <v>#DIV/0!</v>
      </c>
      <c r="H17" s="49">
        <f>+SUM($D$6:D18)*1000000/SUM($C$6:C18)</f>
        <v>0</v>
      </c>
      <c r="I17" s="49">
        <f t="shared" si="1"/>
        <v>0</v>
      </c>
      <c r="J17" s="46">
        <f>+AVERAGE($D$6:D18)</f>
        <v>0</v>
      </c>
      <c r="K17" s="43" t="str">
        <f t="shared" si="2"/>
        <v>Sin eventos registrados</v>
      </c>
    </row>
    <row r="18" spans="1:12">
      <c r="A18" s="4"/>
      <c r="B18" s="5">
        <v>0</v>
      </c>
      <c r="C18" s="5"/>
      <c r="D18" s="5"/>
      <c r="E18" s="5"/>
      <c r="F18" s="38"/>
      <c r="G18" s="37"/>
    </row>
    <row r="19" spans="1:12">
      <c r="A19" s="3" t="s">
        <v>326</v>
      </c>
      <c r="B19" s="5">
        <f>SUM(B6:B17)/12</f>
        <v>0.75</v>
      </c>
      <c r="C19" s="5">
        <f>SUM(C6:C17)</f>
        <v>1800</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4FB5-0A1F-4046-8882-92A7338FCCD4}">
  <sheetPr>
    <tabColor theme="6" tint="-0.499984740745262"/>
    <pageSetUpPr fitToPage="1"/>
  </sheetPr>
  <dimension ref="A1:R59"/>
  <sheetViews>
    <sheetView showGridLines="0" workbookViewId="0">
      <selection activeCell="F20" sqref="E20:F26"/>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4.5703125" customWidth="1"/>
    <col min="9" max="9" width="21.42578125" customWidth="1"/>
    <col min="10" max="10" width="30.28515625" customWidth="1"/>
    <col min="11" max="11" width="36.42578125" customWidth="1"/>
    <col min="12" max="15" width="9.140625"/>
    <col min="16" max="16" width="21.7109375" customWidth="1"/>
    <col min="17" max="17" width="24.7109375" customWidth="1"/>
  </cols>
  <sheetData>
    <row r="1" spans="1:18" ht="42" customHeight="1">
      <c r="A1" s="13"/>
      <c r="C1" s="25" t="s">
        <v>312</v>
      </c>
      <c r="F1" s="15">
        <v>2026</v>
      </c>
      <c r="P1" s="1"/>
      <c r="Q1" s="9" t="s">
        <v>345</v>
      </c>
      <c r="R1" s="12">
        <v>39083</v>
      </c>
    </row>
    <row r="2" spans="1:18" ht="22.5">
      <c r="A2" s="14" t="s">
        <v>346</v>
      </c>
      <c r="C2" s="9"/>
      <c r="F2" s="11"/>
      <c r="P2" s="1"/>
      <c r="Q2" s="9"/>
      <c r="R2" s="12"/>
    </row>
    <row r="3" spans="1:18" ht="21" customHeight="1">
      <c r="C3" s="9" t="s">
        <v>314</v>
      </c>
      <c r="H3" s="47" t="s">
        <v>315</v>
      </c>
      <c r="I3" s="47"/>
      <c r="K3" s="47" t="s">
        <v>315</v>
      </c>
    </row>
    <row r="4" spans="1:18" ht="36">
      <c r="A4" s="3" t="s">
        <v>316</v>
      </c>
      <c r="B4" s="3" t="s">
        <v>317</v>
      </c>
      <c r="C4" s="3" t="s">
        <v>318</v>
      </c>
      <c r="D4" s="3" t="s">
        <v>41</v>
      </c>
      <c r="E4" s="3" t="s">
        <v>319</v>
      </c>
      <c r="F4" s="3" t="s">
        <v>320</v>
      </c>
      <c r="G4" s="37" t="s">
        <v>321</v>
      </c>
      <c r="H4" s="50" t="s">
        <v>322</v>
      </c>
      <c r="I4" s="48" t="s">
        <v>323</v>
      </c>
      <c r="J4" s="45" t="s">
        <v>324</v>
      </c>
      <c r="K4" s="51" t="s">
        <v>325</v>
      </c>
    </row>
    <row r="5" spans="1:18" ht="35.25" customHeight="1">
      <c r="A5" s="2"/>
      <c r="B5" s="2"/>
      <c r="C5" s="2"/>
      <c r="D5" s="2"/>
      <c r="E5" s="2"/>
      <c r="H5" s="47"/>
      <c r="I5" s="47"/>
      <c r="J5" s="42"/>
      <c r="K5" s="42"/>
    </row>
    <row r="6" spans="1:18">
      <c r="A6" s="4">
        <v>46023</v>
      </c>
      <c r="B6" s="5">
        <v>35</v>
      </c>
      <c r="C6" s="5">
        <f t="shared" ref="C6:C14" si="0">B6*200</f>
        <v>7000</v>
      </c>
      <c r="D6" s="5">
        <v>0</v>
      </c>
      <c r="E6" s="5">
        <v>0</v>
      </c>
      <c r="F6" s="26">
        <f>D6*1000/B6*12</f>
        <v>0</v>
      </c>
      <c r="G6" s="37">
        <f t="shared" ref="G6:G17" si="1">D6*1000000/C6</f>
        <v>0</v>
      </c>
      <c r="H6" s="49">
        <f>+SUM($D$6:D7)*1000000/SUM($C$6:C7)</f>
        <v>0</v>
      </c>
      <c r="I6" s="49">
        <f>+H6/1000</f>
        <v>0</v>
      </c>
      <c r="J6" s="46">
        <f>+AVERAGE($D$6:D7)</f>
        <v>0</v>
      </c>
      <c r="K6" s="43" t="str">
        <f>+IF(J6=0,"Sin eventos registrados",30/J6)</f>
        <v>Sin eventos registrados</v>
      </c>
    </row>
    <row r="7" spans="1:18">
      <c r="A7" s="4">
        <v>46054</v>
      </c>
      <c r="B7" s="5"/>
      <c r="C7" s="5">
        <f t="shared" si="0"/>
        <v>0</v>
      </c>
      <c r="D7" s="5">
        <v>0</v>
      </c>
      <c r="E7" s="5">
        <v>0</v>
      </c>
      <c r="F7" s="26" t="e">
        <f>D7*1000/B7*12</f>
        <v>#DIV/0!</v>
      </c>
      <c r="G7" s="37" t="e">
        <f t="shared" si="1"/>
        <v>#DIV/0!</v>
      </c>
      <c r="H7" s="49">
        <f>+SUM($D$6:D8)*1000000/SUM($C$6:C8)</f>
        <v>0</v>
      </c>
      <c r="I7" s="49">
        <f t="shared" ref="I7:I17" si="2">+H7/1000</f>
        <v>0</v>
      </c>
      <c r="J7" s="46">
        <f>+AVERAGE($D$6:D8)</f>
        <v>0</v>
      </c>
      <c r="K7" s="43" t="str">
        <f t="shared" ref="K7:K17" si="3">+IF(J7=0,"Sin eventos registrados",30/J7)</f>
        <v>Sin eventos registrados</v>
      </c>
    </row>
    <row r="8" spans="1:18">
      <c r="A8" s="4">
        <v>46082</v>
      </c>
      <c r="B8" s="5"/>
      <c r="C8" s="5">
        <f t="shared" si="0"/>
        <v>0</v>
      </c>
      <c r="D8" s="5">
        <v>0</v>
      </c>
      <c r="E8" s="5">
        <v>0</v>
      </c>
      <c r="F8" s="26" t="e">
        <f>D8*1000/B8*12</f>
        <v>#DIV/0!</v>
      </c>
      <c r="G8" s="37" t="e">
        <f t="shared" si="1"/>
        <v>#DIV/0!</v>
      </c>
      <c r="H8" s="49">
        <f>+SUM($D$6:D9)*1000000/SUM($C$6:C9)</f>
        <v>0</v>
      </c>
      <c r="I8" s="49">
        <f t="shared" si="2"/>
        <v>0</v>
      </c>
      <c r="J8" s="46">
        <f>+AVERAGE($D$6:D9)</f>
        <v>0</v>
      </c>
      <c r="K8" s="43" t="str">
        <f t="shared" si="3"/>
        <v>Sin eventos registrados</v>
      </c>
    </row>
    <row r="9" spans="1:18">
      <c r="A9" s="4">
        <v>46113</v>
      </c>
      <c r="B9" s="5"/>
      <c r="C9" s="5">
        <f t="shared" si="0"/>
        <v>0</v>
      </c>
      <c r="D9" s="5">
        <v>0</v>
      </c>
      <c r="E9" s="5">
        <v>0</v>
      </c>
      <c r="F9" s="26" t="e">
        <f>D9*1000/B9*12</f>
        <v>#DIV/0!</v>
      </c>
      <c r="G9" s="37" t="e">
        <f t="shared" si="1"/>
        <v>#DIV/0!</v>
      </c>
      <c r="H9" s="49">
        <f>+SUM($D$6:D10)*1000000/SUM($C$6:C10)</f>
        <v>0</v>
      </c>
      <c r="I9" s="49">
        <f>+H9/1000</f>
        <v>0</v>
      </c>
      <c r="J9" s="46">
        <f>+AVERAGE($D$6:D10)</f>
        <v>0</v>
      </c>
      <c r="K9" s="43" t="str">
        <f>+IF(J9=0,"Sin eventos registrados",30/J9)</f>
        <v>Sin eventos registrados</v>
      </c>
    </row>
    <row r="10" spans="1:18">
      <c r="A10" s="4">
        <v>46143</v>
      </c>
      <c r="B10" s="5"/>
      <c r="C10" s="5">
        <f t="shared" si="0"/>
        <v>0</v>
      </c>
      <c r="D10" s="5">
        <v>0</v>
      </c>
      <c r="E10" s="5">
        <v>0</v>
      </c>
      <c r="F10" s="26" t="e">
        <f>D10*1000/B10*12</f>
        <v>#DIV/0!</v>
      </c>
      <c r="G10" s="37" t="e">
        <f t="shared" si="1"/>
        <v>#DIV/0!</v>
      </c>
      <c r="H10" s="49">
        <f>+SUM($D$6:D11)*1000000/SUM($C$6:C11)</f>
        <v>0</v>
      </c>
      <c r="I10" s="49">
        <f t="shared" si="2"/>
        <v>0</v>
      </c>
      <c r="J10" s="46">
        <f>+AVERAGE($D$6:D11)</f>
        <v>0</v>
      </c>
      <c r="K10" s="43" t="str">
        <f>+IF(J10=0,"Sin eventos registrados",30/J10)</f>
        <v>Sin eventos registrados</v>
      </c>
    </row>
    <row r="11" spans="1:18">
      <c r="A11" s="4">
        <v>46174</v>
      </c>
      <c r="B11" s="5"/>
      <c r="C11" s="5">
        <f t="shared" si="0"/>
        <v>0</v>
      </c>
      <c r="D11" s="5">
        <v>0</v>
      </c>
      <c r="E11" s="5">
        <v>0</v>
      </c>
      <c r="F11" s="26" t="e">
        <f>D11*1000/B11</f>
        <v>#DIV/0!</v>
      </c>
      <c r="G11" s="37" t="e">
        <f t="shared" si="1"/>
        <v>#DIV/0!</v>
      </c>
      <c r="H11" s="49">
        <f>+SUM($D$6:D12)*1000000/SUM($C$6:C12)</f>
        <v>0</v>
      </c>
      <c r="I11" s="49">
        <f t="shared" si="2"/>
        <v>0</v>
      </c>
      <c r="J11" s="46">
        <f>+AVERAGE($D$6:D12)</f>
        <v>0</v>
      </c>
      <c r="K11" s="43" t="str">
        <f t="shared" si="3"/>
        <v>Sin eventos registrados</v>
      </c>
    </row>
    <row r="12" spans="1:18">
      <c r="A12" s="4">
        <v>46204</v>
      </c>
      <c r="B12" s="5"/>
      <c r="C12" s="5">
        <f t="shared" si="0"/>
        <v>0</v>
      </c>
      <c r="D12" s="5">
        <v>0</v>
      </c>
      <c r="E12" s="5">
        <v>0</v>
      </c>
      <c r="F12" s="26" t="e">
        <f t="shared" ref="F12:F17" si="4">D12*1000/B12*12</f>
        <v>#DIV/0!</v>
      </c>
      <c r="G12" s="37" t="e">
        <f t="shared" si="1"/>
        <v>#DIV/0!</v>
      </c>
      <c r="H12" s="49">
        <f>+SUM($D$6:D13)*1000000/SUM($C$6:C13)</f>
        <v>0</v>
      </c>
      <c r="I12" s="49">
        <f t="shared" si="2"/>
        <v>0</v>
      </c>
      <c r="J12" s="46">
        <f>+AVERAGE($D$6:D13)</f>
        <v>0</v>
      </c>
      <c r="K12" s="43" t="str">
        <f t="shared" si="3"/>
        <v>Sin eventos registrados</v>
      </c>
    </row>
    <row r="13" spans="1:18">
      <c r="A13" s="4">
        <v>46235</v>
      </c>
      <c r="B13" s="5"/>
      <c r="C13" s="5">
        <f t="shared" si="0"/>
        <v>0</v>
      </c>
      <c r="D13" s="5">
        <v>0</v>
      </c>
      <c r="E13" s="5">
        <v>0</v>
      </c>
      <c r="F13" s="26" t="e">
        <f t="shared" si="4"/>
        <v>#DIV/0!</v>
      </c>
      <c r="G13" s="37" t="e">
        <f t="shared" si="1"/>
        <v>#DIV/0!</v>
      </c>
      <c r="H13" s="49">
        <f>+SUM($D$6:D14)*1000000/SUM($C$6:C14)</f>
        <v>0</v>
      </c>
      <c r="I13" s="49">
        <f>+H13/1000</f>
        <v>0</v>
      </c>
      <c r="J13" s="46">
        <f>+AVERAGE($D$6:D14)</f>
        <v>0</v>
      </c>
      <c r="K13" s="43" t="str">
        <f t="shared" si="3"/>
        <v>Sin eventos registrados</v>
      </c>
    </row>
    <row r="14" spans="1:18">
      <c r="A14" s="4">
        <v>46266</v>
      </c>
      <c r="B14" s="5"/>
      <c r="C14" s="5">
        <f t="shared" si="0"/>
        <v>0</v>
      </c>
      <c r="D14" s="5">
        <v>0</v>
      </c>
      <c r="E14" s="5">
        <v>0</v>
      </c>
      <c r="F14" s="26" t="e">
        <f t="shared" si="4"/>
        <v>#DIV/0!</v>
      </c>
      <c r="G14" s="37" t="e">
        <f t="shared" si="1"/>
        <v>#DIV/0!</v>
      </c>
      <c r="H14" s="49">
        <f>+SUM($D$6:D15)*1000000/SUM($C$6:C15)</f>
        <v>0</v>
      </c>
      <c r="I14" s="49">
        <f t="shared" si="2"/>
        <v>0</v>
      </c>
      <c r="J14" s="46">
        <f>+AVERAGE($D$6:D15)</f>
        <v>0</v>
      </c>
      <c r="K14" s="43" t="str">
        <f t="shared" si="3"/>
        <v>Sin eventos registrados</v>
      </c>
    </row>
    <row r="15" spans="1:18">
      <c r="A15" s="4">
        <v>46296</v>
      </c>
      <c r="B15" s="5"/>
      <c r="C15" s="5">
        <f t="shared" ref="C10:C17" si="5">B15*200</f>
        <v>0</v>
      </c>
      <c r="D15" s="5">
        <v>0</v>
      </c>
      <c r="E15" s="5">
        <v>0</v>
      </c>
      <c r="F15" s="26" t="e">
        <f t="shared" si="4"/>
        <v>#DIV/0!</v>
      </c>
      <c r="G15" s="37" t="e">
        <f t="shared" si="1"/>
        <v>#DIV/0!</v>
      </c>
      <c r="H15" s="49">
        <f>+SUM($D$6:D16)*1000000/SUM($C$6:C16)</f>
        <v>0</v>
      </c>
      <c r="I15" s="49">
        <f t="shared" si="2"/>
        <v>0</v>
      </c>
      <c r="J15" s="46">
        <f>+AVERAGE($D$6:D16)</f>
        <v>0</v>
      </c>
      <c r="K15" s="43" t="str">
        <f t="shared" si="3"/>
        <v>Sin eventos registrados</v>
      </c>
    </row>
    <row r="16" spans="1:18">
      <c r="A16" s="4">
        <v>46327</v>
      </c>
      <c r="B16" s="5"/>
      <c r="C16" s="5">
        <f t="shared" si="5"/>
        <v>0</v>
      </c>
      <c r="D16" s="5">
        <v>0</v>
      </c>
      <c r="E16" s="5">
        <v>0</v>
      </c>
      <c r="F16" s="26" t="e">
        <f t="shared" si="4"/>
        <v>#DIV/0!</v>
      </c>
      <c r="G16" s="37" t="e">
        <f>D16*1000000/C16</f>
        <v>#DIV/0!</v>
      </c>
      <c r="H16" s="49">
        <f>+SUM($D$6:D17)*1000000/SUM($C$6:C17)</f>
        <v>0</v>
      </c>
      <c r="I16" s="49">
        <f t="shared" si="2"/>
        <v>0</v>
      </c>
      <c r="J16" s="46">
        <f>+AVERAGE($D$6:D17)</f>
        <v>0</v>
      </c>
      <c r="K16" s="43" t="str">
        <f t="shared" si="3"/>
        <v>Sin eventos registrados</v>
      </c>
    </row>
    <row r="17" spans="1:12">
      <c r="A17" s="4">
        <v>46357</v>
      </c>
      <c r="B17" s="5"/>
      <c r="C17" s="5">
        <f t="shared" si="5"/>
        <v>0</v>
      </c>
      <c r="D17" s="5">
        <v>0</v>
      </c>
      <c r="E17" s="5">
        <v>0</v>
      </c>
      <c r="F17" s="26" t="e">
        <f t="shared" si="4"/>
        <v>#DIV/0!</v>
      </c>
      <c r="G17" s="37" t="e">
        <f t="shared" si="1"/>
        <v>#DIV/0!</v>
      </c>
      <c r="H17" s="49">
        <f>+SUM($D$6:D18)*1000000/SUM($C$6:C18)</f>
        <v>0</v>
      </c>
      <c r="I17" s="49">
        <f t="shared" si="2"/>
        <v>0</v>
      </c>
      <c r="J17" s="46">
        <f>+AVERAGE($D$6:D18)</f>
        <v>0</v>
      </c>
      <c r="K17" s="43" t="str">
        <f t="shared" si="3"/>
        <v>Sin eventos registrados</v>
      </c>
    </row>
    <row r="18" spans="1:12">
      <c r="A18" s="4"/>
      <c r="B18" s="5"/>
      <c r="C18" s="5"/>
      <c r="D18" s="5"/>
      <c r="E18" s="5"/>
      <c r="F18" s="5"/>
    </row>
    <row r="19" spans="1:12">
      <c r="A19" s="3" t="s">
        <v>326</v>
      </c>
      <c r="B19" s="5">
        <f>SUM(B6:B17)/12</f>
        <v>2.9166666666666665</v>
      </c>
      <c r="C19" s="5">
        <f>SUM(C6:C17)</f>
        <v>7000</v>
      </c>
      <c r="D19" s="5">
        <f>SUM(D6:D17)</f>
        <v>0</v>
      </c>
      <c r="E19" s="10">
        <f>SUM(E6:E17)</f>
        <v>0</v>
      </c>
      <c r="F19" s="5">
        <f>D19*1000/B19</f>
        <v>0</v>
      </c>
    </row>
    <row r="20" spans="1:12">
      <c r="A20" s="2"/>
    </row>
    <row r="21" spans="1:12">
      <c r="A21" s="2"/>
      <c r="H21" s="74"/>
      <c r="I21" s="74"/>
      <c r="J21" s="75"/>
      <c r="K21" s="75"/>
      <c r="L21" s="75"/>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 r="A28" s="16" t="s">
        <v>336</v>
      </c>
      <c r="B28" s="6"/>
      <c r="C28" s="7" t="s">
        <v>319</v>
      </c>
      <c r="D28" s="18" t="s">
        <v>329</v>
      </c>
      <c r="E28" s="23">
        <f>E19/B19</f>
        <v>0</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347</v>
      </c>
      <c r="F58" s="27"/>
    </row>
    <row r="59" spans="5:6">
      <c r="F59" s="27"/>
    </row>
  </sheetData>
  <mergeCells count="5">
    <mergeCell ref="F22:F23"/>
    <mergeCell ref="F25:F26"/>
    <mergeCell ref="F28:F29"/>
    <mergeCell ref="A31:F31"/>
    <mergeCell ref="A32:F32"/>
  </mergeCells>
  <phoneticPr fontId="0" type="noConversion"/>
  <printOptions horizontalCentered="1"/>
  <pageMargins left="0.98425196850393704" right="0.59055118110236227" top="0.59055118110236227" bottom="0.59055118110236227" header="0" footer="0"/>
  <pageSetup paperSize="9" scale="85"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B3D2-42B3-4C57-9A6B-8F953FFC808A}">
  <sheetPr>
    <tabColor theme="6" tint="-0.499984740745262"/>
    <pageSetUpPr fitToPage="1"/>
  </sheetPr>
  <dimension ref="A1:R59"/>
  <sheetViews>
    <sheetView topLeftCell="C1" workbookViewId="0">
      <selection activeCell="F12" sqref="F12"/>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140625" customWidth="1"/>
    <col min="10" max="10" width="9.140625"/>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31</v>
      </c>
      <c r="C2" s="9"/>
      <c r="F2" s="11"/>
      <c r="P2" s="1"/>
      <c r="Q2" s="9"/>
      <c r="R2" s="12"/>
    </row>
    <row r="3" spans="1:18" ht="21" customHeight="1">
      <c r="C3" s="9" t="s">
        <v>314</v>
      </c>
      <c r="H3" s="47" t="s">
        <v>315</v>
      </c>
      <c r="I3" s="47"/>
      <c r="K3" s="47" t="s">
        <v>315</v>
      </c>
    </row>
    <row r="4" spans="1:18" ht="60">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22</v>
      </c>
      <c r="C6" s="5">
        <f>B6*200</f>
        <v>4400</v>
      </c>
      <c r="D6" s="5">
        <v>0</v>
      </c>
      <c r="E6" s="5">
        <v>0</v>
      </c>
      <c r="F6" s="5">
        <f t="shared" ref="F6:F17" si="0">D6*1000/B6*12</f>
        <v>0</v>
      </c>
      <c r="G6" s="37">
        <f>D6*1000000/C6</f>
        <v>0</v>
      </c>
      <c r="H6" s="49" t="e">
        <f>+D7*1000000/C7</f>
        <v>#DIV/0!</v>
      </c>
      <c r="I6" s="49" t="e">
        <f>+H6/1000</f>
        <v>#DIV/0!</v>
      </c>
      <c r="J6" s="46">
        <f>+AVERAGE($D$6:D7)</f>
        <v>0</v>
      </c>
      <c r="K6" s="43" t="str">
        <f>+IF(J6=0,"Sin eventos registrados",30/J6)</f>
        <v>Sin eventos registrados</v>
      </c>
    </row>
    <row r="7" spans="1:18">
      <c r="A7" s="4">
        <v>46054</v>
      </c>
      <c r="B7" s="5"/>
      <c r="C7" s="5">
        <f>B7*200</f>
        <v>0</v>
      </c>
      <c r="D7" s="5">
        <v>0</v>
      </c>
      <c r="E7" s="5">
        <v>0</v>
      </c>
      <c r="F7" s="5" t="e">
        <f t="shared" si="0"/>
        <v>#DIV/0!</v>
      </c>
      <c r="G7" s="37" t="e">
        <f>D7*1000000/C7</f>
        <v>#DIV/0!</v>
      </c>
      <c r="H7" s="49">
        <f>+SUM($D$6:D8)*1000000/SUM($C$6:C8)</f>
        <v>0</v>
      </c>
      <c r="I7" s="49">
        <f t="shared" ref="I7:I17" si="1">+H7/1000</f>
        <v>0</v>
      </c>
      <c r="J7" s="46">
        <f>+AVERAGE($D$6:D8)</f>
        <v>0</v>
      </c>
      <c r="K7" s="43" t="str">
        <f t="shared" ref="K7:K17" si="2">+IF(J7=0,"Sin eventos registrados",30/J7)</f>
        <v>Sin eventos registrados</v>
      </c>
    </row>
    <row r="8" spans="1:18">
      <c r="A8" s="4">
        <v>46082</v>
      </c>
      <c r="B8" s="5"/>
      <c r="C8" s="5">
        <f>B8*200</f>
        <v>0</v>
      </c>
      <c r="D8" s="5">
        <v>0</v>
      </c>
      <c r="E8" s="5">
        <v>0</v>
      </c>
      <c r="F8" s="5" t="e">
        <f t="shared" si="0"/>
        <v>#DIV/0!</v>
      </c>
      <c r="G8" s="37" t="e">
        <f>D8*1000000/C8</f>
        <v>#DIV/0!</v>
      </c>
      <c r="H8" s="49">
        <f>+SUM($D$6:D9)*1000000/SUM($C$6:C9)</f>
        <v>0</v>
      </c>
      <c r="I8" s="49">
        <f t="shared" si="1"/>
        <v>0</v>
      </c>
      <c r="J8" s="46">
        <f>+AVERAGE($D$6:D9)</f>
        <v>0</v>
      </c>
      <c r="K8" s="43" t="str">
        <f t="shared" si="2"/>
        <v>Sin eventos registrados</v>
      </c>
    </row>
    <row r="9" spans="1:18">
      <c r="A9" s="4">
        <v>46113</v>
      </c>
      <c r="B9" s="5"/>
      <c r="C9" s="5">
        <f t="shared" ref="C9:C10" si="3">B9*200</f>
        <v>0</v>
      </c>
      <c r="D9" s="5">
        <v>0</v>
      </c>
      <c r="E9" s="41">
        <v>0</v>
      </c>
      <c r="F9" s="5" t="e">
        <f t="shared" si="0"/>
        <v>#DIV/0!</v>
      </c>
      <c r="G9" s="37" t="e">
        <f>D9*1000000/C9</f>
        <v>#DIV/0!</v>
      </c>
      <c r="H9" s="49">
        <f>+SUM($D$6:D10)*1000000/SUM($C$6:C10)</f>
        <v>0</v>
      </c>
      <c r="I9" s="49">
        <f>+H9/1000</f>
        <v>0</v>
      </c>
      <c r="J9" s="46">
        <f>+AVERAGE($D$6:D10)</f>
        <v>0</v>
      </c>
      <c r="K9" s="43" t="str">
        <f>+IF(J9=0,"Sin eventos registrados",30/J9)</f>
        <v>Sin eventos registrados</v>
      </c>
    </row>
    <row r="10" spans="1:18">
      <c r="A10" s="4">
        <v>46143</v>
      </c>
      <c r="B10" s="5"/>
      <c r="C10" s="5">
        <f t="shared" si="3"/>
        <v>0</v>
      </c>
      <c r="D10" s="5">
        <v>0</v>
      </c>
      <c r="E10" s="41">
        <v>0</v>
      </c>
      <c r="F10" s="5"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46174</v>
      </c>
      <c r="B11" s="5"/>
      <c r="C11" s="5">
        <f>B11*200</f>
        <v>0</v>
      </c>
      <c r="D11" s="5">
        <v>0</v>
      </c>
      <c r="E11" s="5">
        <v>0</v>
      </c>
      <c r="F11" s="5" t="e">
        <f t="shared" si="0"/>
        <v>#DIV/0!</v>
      </c>
      <c r="G11" s="37" t="e">
        <f>D11*1000000/C11</f>
        <v>#DIV/0!</v>
      </c>
      <c r="H11" s="49">
        <f>+SUM($D$6:D12)*1000000/SUM($C$6:C12)</f>
        <v>0</v>
      </c>
      <c r="I11" s="49">
        <f t="shared" si="1"/>
        <v>0</v>
      </c>
      <c r="J11" s="46">
        <f>+AVERAGE($D$6:D12)</f>
        <v>0</v>
      </c>
      <c r="K11" s="43" t="str">
        <f t="shared" si="2"/>
        <v>Sin eventos registrados</v>
      </c>
    </row>
    <row r="12" spans="1:18">
      <c r="A12" s="4">
        <v>46204</v>
      </c>
      <c r="B12" s="5"/>
      <c r="C12" s="5">
        <f>B12*200</f>
        <v>0</v>
      </c>
      <c r="D12" s="5">
        <v>0</v>
      </c>
      <c r="E12" s="5">
        <v>0</v>
      </c>
      <c r="F12" s="5" t="e">
        <f>D12*1000/B12</f>
        <v>#DIV/0!</v>
      </c>
      <c r="G12" s="37" t="e">
        <f>D12*1000000/C12</f>
        <v>#DIV/0!</v>
      </c>
      <c r="H12" s="49">
        <f>+SUM($D$6:D13)*1000000/SUM($C$6:C13)</f>
        <v>0</v>
      </c>
      <c r="I12" s="49">
        <f t="shared" si="1"/>
        <v>0</v>
      </c>
      <c r="J12" s="46">
        <f>+AVERAGE($D$6:D13)</f>
        <v>0</v>
      </c>
      <c r="K12" s="43" t="str">
        <f t="shared" si="2"/>
        <v>Sin eventos registrados</v>
      </c>
    </row>
    <row r="13" spans="1:18">
      <c r="A13" s="4">
        <v>46235</v>
      </c>
      <c r="B13" s="5"/>
      <c r="C13" s="5">
        <f t="shared" ref="C13" si="5">B13*8*22</f>
        <v>0</v>
      </c>
      <c r="D13" s="5">
        <v>0</v>
      </c>
      <c r="E13" s="5">
        <v>0</v>
      </c>
      <c r="F13" s="5" t="e">
        <f>D13*1000/B13*12</f>
        <v>#DIV/0!</v>
      </c>
      <c r="G13" s="37" t="e">
        <f t="shared" si="4"/>
        <v>#DIV/0!</v>
      </c>
      <c r="H13" s="49">
        <f>+SUM($D$6:D14)*1000000/SUM($C$6:C14)</f>
        <v>0</v>
      </c>
      <c r="I13" s="49">
        <f>+H13/1000</f>
        <v>0</v>
      </c>
      <c r="J13" s="46">
        <f>+AVERAGE($D$6:D14)</f>
        <v>0</v>
      </c>
      <c r="K13" s="43" t="str">
        <f t="shared" si="2"/>
        <v>Sin eventos registrados</v>
      </c>
    </row>
    <row r="14" spans="1:18">
      <c r="A14" s="4">
        <v>46266</v>
      </c>
      <c r="B14" s="5"/>
      <c r="C14" s="5">
        <f>B14*8*25</f>
        <v>0</v>
      </c>
      <c r="D14" s="5">
        <v>0</v>
      </c>
      <c r="E14" s="5">
        <v>0</v>
      </c>
      <c r="F14" s="5" t="e">
        <f t="shared" si="0"/>
        <v>#DIV/0!</v>
      </c>
      <c r="G14" s="37" t="e">
        <f t="shared" si="4"/>
        <v>#DIV/0!</v>
      </c>
      <c r="H14" s="49">
        <f>+SUM($D$6:D15)*1000000/SUM($C$6:C15)</f>
        <v>0</v>
      </c>
      <c r="I14" s="49">
        <f t="shared" si="1"/>
        <v>0</v>
      </c>
      <c r="J14" s="46">
        <f>+AVERAGE($D$6:D15)</f>
        <v>0</v>
      </c>
      <c r="K14" s="43" t="str">
        <f t="shared" si="2"/>
        <v>Sin eventos registrados</v>
      </c>
    </row>
    <row r="15" spans="1:18">
      <c r="A15" s="4">
        <v>46296</v>
      </c>
      <c r="B15" s="5"/>
      <c r="C15" s="5">
        <f t="shared" ref="C15:C17" si="6">B15*8*25</f>
        <v>0</v>
      </c>
      <c r="D15" s="5">
        <v>0</v>
      </c>
      <c r="E15" s="5">
        <v>0</v>
      </c>
      <c r="F15" s="5" t="e">
        <f t="shared" si="0"/>
        <v>#DIV/0!</v>
      </c>
      <c r="G15" s="37" t="e">
        <f t="shared" si="4"/>
        <v>#DIV/0!</v>
      </c>
      <c r="H15" s="49">
        <f>+SUM($D$6:D16)*1000000/SUM($C$6:C16)</f>
        <v>0</v>
      </c>
      <c r="I15" s="49">
        <f t="shared" si="1"/>
        <v>0</v>
      </c>
      <c r="J15" s="46">
        <f>+AVERAGE($D$6:D16)</f>
        <v>0</v>
      </c>
      <c r="K15" s="43" t="str">
        <f t="shared" si="2"/>
        <v>Sin eventos registrados</v>
      </c>
    </row>
    <row r="16" spans="1:18">
      <c r="A16" s="4">
        <v>46327</v>
      </c>
      <c r="B16" s="5"/>
      <c r="C16" s="5">
        <f t="shared" si="6"/>
        <v>0</v>
      </c>
      <c r="D16" s="5">
        <v>0</v>
      </c>
      <c r="E16" s="5">
        <v>0</v>
      </c>
      <c r="F16" s="5" t="e">
        <f t="shared" si="0"/>
        <v>#DIV/0!</v>
      </c>
      <c r="G16" s="37" t="e">
        <f t="shared" si="4"/>
        <v>#DIV/0!</v>
      </c>
      <c r="H16" s="49">
        <f>+SUM($D$6:D17)*1000000/SUM($C$6:C17)</f>
        <v>0</v>
      </c>
      <c r="I16" s="49">
        <f t="shared" si="1"/>
        <v>0</v>
      </c>
      <c r="J16" s="46">
        <f>+AVERAGE($D$6:D17)</f>
        <v>0</v>
      </c>
      <c r="K16" s="43" t="str">
        <f t="shared" si="2"/>
        <v>Sin eventos registrados</v>
      </c>
    </row>
    <row r="17" spans="1:12">
      <c r="A17" s="4">
        <v>46357</v>
      </c>
      <c r="B17" s="5"/>
      <c r="C17" s="5">
        <f t="shared" si="6"/>
        <v>0</v>
      </c>
      <c r="D17" s="5">
        <v>0</v>
      </c>
      <c r="E17" s="5">
        <v>0</v>
      </c>
      <c r="F17" s="5" t="e">
        <f t="shared" si="0"/>
        <v>#DIV/0!</v>
      </c>
      <c r="G17" s="37" t="e">
        <f t="shared" si="4"/>
        <v>#DIV/0!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SUM(B6:B17)/7</f>
        <v>3.1428571428571428</v>
      </c>
      <c r="C19" s="5">
        <f>SUM(C6:C17)</f>
        <v>4400</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5E3E2-4108-4BFE-99F2-E448EA0D47C6}">
  <sheetPr>
    <tabColor theme="6" tint="-0.499984740745262"/>
    <pageSetUpPr fitToPage="1"/>
  </sheetPr>
  <dimension ref="A1:R59"/>
  <sheetViews>
    <sheetView showGridLines="0" topLeftCell="C5" workbookViewId="0">
      <selection activeCell="A6" sqref="A6:A17"/>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4.5703125" customWidth="1"/>
    <col min="9" max="9" width="21.42578125" customWidth="1"/>
    <col min="10" max="10" width="30.28515625" customWidth="1"/>
    <col min="11" max="11" width="36.42578125" customWidth="1"/>
    <col min="12" max="15" width="9.140625"/>
    <col min="16" max="16" width="21.7109375" customWidth="1"/>
    <col min="17" max="17" width="24.7109375" customWidth="1"/>
  </cols>
  <sheetData>
    <row r="1" spans="1:18" ht="42" customHeight="1">
      <c r="A1" s="13"/>
      <c r="C1" s="25" t="s">
        <v>312</v>
      </c>
      <c r="F1" s="15">
        <v>2026</v>
      </c>
      <c r="P1" s="1"/>
      <c r="Q1" s="9" t="s">
        <v>345</v>
      </c>
      <c r="R1" s="12">
        <v>39083</v>
      </c>
    </row>
    <row r="2" spans="1:18" ht="22.5">
      <c r="A2" s="14" t="s">
        <v>13</v>
      </c>
      <c r="C2" s="9"/>
      <c r="F2" s="11"/>
      <c r="P2" s="1"/>
      <c r="Q2" s="9"/>
      <c r="R2" s="12"/>
    </row>
    <row r="3" spans="1:18" ht="21" customHeight="1">
      <c r="C3" s="9" t="s">
        <v>314</v>
      </c>
      <c r="H3" s="47" t="s">
        <v>315</v>
      </c>
      <c r="I3" s="47"/>
      <c r="K3" s="47" t="s">
        <v>315</v>
      </c>
    </row>
    <row r="4" spans="1:18" ht="36">
      <c r="A4" s="3" t="s">
        <v>316</v>
      </c>
      <c r="B4" s="3" t="s">
        <v>317</v>
      </c>
      <c r="C4" s="3" t="s">
        <v>318</v>
      </c>
      <c r="D4" s="3" t="s">
        <v>41</v>
      </c>
      <c r="E4" s="3" t="s">
        <v>319</v>
      </c>
      <c r="F4" s="3" t="s">
        <v>320</v>
      </c>
      <c r="G4" s="37" t="s">
        <v>321</v>
      </c>
      <c r="H4" s="50" t="s">
        <v>322</v>
      </c>
      <c r="I4" s="48" t="s">
        <v>323</v>
      </c>
      <c r="J4" s="45" t="s">
        <v>324</v>
      </c>
      <c r="K4" s="51" t="s">
        <v>325</v>
      </c>
    </row>
    <row r="5" spans="1:18" ht="35.25" customHeight="1">
      <c r="A5" s="2"/>
      <c r="B5" s="2"/>
      <c r="C5" s="2"/>
      <c r="D5" s="2"/>
      <c r="E5" s="2"/>
      <c r="H5" s="47"/>
      <c r="I5" s="47"/>
      <c r="J5" s="42"/>
      <c r="K5" s="42"/>
    </row>
    <row r="6" spans="1:18">
      <c r="A6" s="4">
        <v>46023</v>
      </c>
      <c r="B6" s="5">
        <v>8</v>
      </c>
      <c r="C6" s="5">
        <v>2520</v>
      </c>
      <c r="D6" s="5">
        <v>0</v>
      </c>
      <c r="E6" s="5">
        <v>0</v>
      </c>
      <c r="F6" s="26">
        <f>D6*1000/B6*12</f>
        <v>0</v>
      </c>
      <c r="G6" s="37">
        <f t="shared" ref="G6:G17" si="0">D6*1000000/C6</f>
        <v>0</v>
      </c>
      <c r="H6" s="49">
        <f>+SUM($D$6:D7)*1000000/SUM($C$6:C7)</f>
        <v>0</v>
      </c>
      <c r="I6" s="49">
        <f>+H6/1000</f>
        <v>0</v>
      </c>
      <c r="J6" s="46">
        <f>+AVERAGE($D$6:D7)</f>
        <v>0</v>
      </c>
      <c r="K6" s="43" t="str">
        <f>+IF(J6=0,"Sin eventos registrados",30/J6)</f>
        <v>Sin eventos registrados</v>
      </c>
    </row>
    <row r="7" spans="1:18">
      <c r="A7" s="4">
        <v>46054</v>
      </c>
      <c r="B7" s="5"/>
      <c r="C7" s="5">
        <f t="shared" ref="C7:C8" si="1">B7*200</f>
        <v>0</v>
      </c>
      <c r="D7" s="5">
        <v>0</v>
      </c>
      <c r="E7" s="5">
        <v>0</v>
      </c>
      <c r="F7" s="26" t="e">
        <f>D7*1000/B7*12</f>
        <v>#DIV/0!</v>
      </c>
      <c r="G7" s="37" t="e">
        <f t="shared" si="0"/>
        <v>#DIV/0!</v>
      </c>
      <c r="H7" s="49">
        <f>+SUM($D$6:D8)*1000000/SUM($C$6:C8)</f>
        <v>0</v>
      </c>
      <c r="I7" s="49">
        <f t="shared" ref="I7:I17" si="2">+H7/1000</f>
        <v>0</v>
      </c>
      <c r="J7" s="46">
        <f>+AVERAGE($D$6:D8)</f>
        <v>0</v>
      </c>
      <c r="K7" s="43" t="str">
        <f t="shared" ref="K7:K17" si="3">+IF(J7=0,"Sin eventos registrados",30/J7)</f>
        <v>Sin eventos registrados</v>
      </c>
    </row>
    <row r="8" spans="1:18">
      <c r="A8" s="4">
        <v>46082</v>
      </c>
      <c r="B8" s="5"/>
      <c r="C8" s="5">
        <f t="shared" si="1"/>
        <v>0</v>
      </c>
      <c r="D8" s="5">
        <v>0</v>
      </c>
      <c r="E8" s="5">
        <v>0</v>
      </c>
      <c r="F8" s="26" t="e">
        <f>D8*1000/B8*12</f>
        <v>#DIV/0!</v>
      </c>
      <c r="G8" s="37" t="e">
        <f t="shared" si="0"/>
        <v>#DIV/0!</v>
      </c>
      <c r="H8" s="49">
        <f>+SUM($D$6:D9)*1000000/SUM($C$6:C9)</f>
        <v>0</v>
      </c>
      <c r="I8" s="49">
        <f t="shared" si="2"/>
        <v>0</v>
      </c>
      <c r="J8" s="46">
        <f>+AVERAGE($D$6:D9)</f>
        <v>0</v>
      </c>
      <c r="K8" s="43" t="str">
        <f t="shared" si="3"/>
        <v>Sin eventos registrados</v>
      </c>
    </row>
    <row r="9" spans="1:18">
      <c r="A9" s="4">
        <v>46113</v>
      </c>
      <c r="B9" s="5"/>
      <c r="C9" s="5">
        <f>B9*200</f>
        <v>0</v>
      </c>
      <c r="D9" s="5">
        <v>0</v>
      </c>
      <c r="E9" s="5">
        <v>0</v>
      </c>
      <c r="F9" s="26" t="e">
        <f>D9*1000/B9*12</f>
        <v>#DIV/0!</v>
      </c>
      <c r="G9" s="37" t="e">
        <f t="shared" si="0"/>
        <v>#DIV/0!</v>
      </c>
      <c r="H9" s="49">
        <f>+SUM($D$6:D10)*1000000/SUM($C$6:C10)</f>
        <v>0</v>
      </c>
      <c r="I9" s="49">
        <f>+H9/1000</f>
        <v>0</v>
      </c>
      <c r="J9" s="46">
        <f>+AVERAGE($D$6:D10)</f>
        <v>0</v>
      </c>
      <c r="K9" s="43" t="str">
        <f>+IF(J9=0,"Sin eventos registrados",30/J9)</f>
        <v>Sin eventos registrados</v>
      </c>
    </row>
    <row r="10" spans="1:18">
      <c r="A10" s="4">
        <v>46143</v>
      </c>
      <c r="B10" s="5"/>
      <c r="C10" s="5">
        <f>B10*200</f>
        <v>0</v>
      </c>
      <c r="D10" s="5">
        <v>0</v>
      </c>
      <c r="E10" s="5">
        <v>0</v>
      </c>
      <c r="F10" s="26" t="e">
        <f>D10*1000/B10*12</f>
        <v>#DIV/0!</v>
      </c>
      <c r="G10" s="37" t="e">
        <f t="shared" si="0"/>
        <v>#DIV/0!</v>
      </c>
      <c r="H10" s="49">
        <f>+SUM($D$6:D11)*1000000/SUM($C$6:C11)</f>
        <v>0</v>
      </c>
      <c r="I10" s="49">
        <f t="shared" si="2"/>
        <v>0</v>
      </c>
      <c r="J10" s="46">
        <f>+AVERAGE($D$6:D11)</f>
        <v>0</v>
      </c>
      <c r="K10" s="43" t="str">
        <f>+IF(J10=0,"Sin eventos registrados",30/J10)</f>
        <v>Sin eventos registrados</v>
      </c>
    </row>
    <row r="11" spans="1:18">
      <c r="A11" s="4">
        <v>46174</v>
      </c>
      <c r="B11" s="5"/>
      <c r="C11" s="5">
        <f>B11*200</f>
        <v>0</v>
      </c>
      <c r="D11" s="5">
        <v>0</v>
      </c>
      <c r="E11" s="5">
        <v>0</v>
      </c>
      <c r="F11" s="26" t="e">
        <f>D11*1000/B11</f>
        <v>#DIV/0!</v>
      </c>
      <c r="G11" s="37" t="e">
        <f t="shared" si="0"/>
        <v>#DIV/0!</v>
      </c>
      <c r="H11" s="49">
        <f>+SUM($D$6:D12)*1000000/SUM($C$6:C12)</f>
        <v>0</v>
      </c>
      <c r="I11" s="49">
        <f t="shared" si="2"/>
        <v>0</v>
      </c>
      <c r="J11" s="46">
        <f>+AVERAGE($D$6:D12)</f>
        <v>0</v>
      </c>
      <c r="K11" s="43" t="str">
        <f t="shared" si="3"/>
        <v>Sin eventos registrados</v>
      </c>
    </row>
    <row r="12" spans="1:18">
      <c r="A12" s="4">
        <v>46204</v>
      </c>
      <c r="B12" s="5"/>
      <c r="C12" s="5">
        <f>B12*200</f>
        <v>0</v>
      </c>
      <c r="D12" s="5">
        <v>0</v>
      </c>
      <c r="E12" s="5">
        <v>0</v>
      </c>
      <c r="F12" s="26" t="e">
        <f t="shared" ref="F12:F17" si="4">D12*1000/B12*12</f>
        <v>#DIV/0!</v>
      </c>
      <c r="G12" s="37" t="e">
        <f t="shared" si="0"/>
        <v>#DIV/0!</v>
      </c>
      <c r="H12" s="49">
        <f>+SUM($D$6:D13)*1000000/SUM($C$6:C13)</f>
        <v>0</v>
      </c>
      <c r="I12" s="49">
        <f t="shared" si="2"/>
        <v>0</v>
      </c>
      <c r="J12" s="46">
        <f>+AVERAGE($D$6:D13)</f>
        <v>0</v>
      </c>
      <c r="K12" s="43" t="str">
        <f t="shared" si="3"/>
        <v>Sin eventos registrados</v>
      </c>
    </row>
    <row r="13" spans="1:18">
      <c r="A13" s="4">
        <v>46235</v>
      </c>
      <c r="B13" s="5"/>
      <c r="C13" s="5">
        <f>B13*200</f>
        <v>0</v>
      </c>
      <c r="D13" s="5">
        <v>0</v>
      </c>
      <c r="E13" s="5">
        <v>0</v>
      </c>
      <c r="F13" s="26" t="e">
        <f t="shared" si="4"/>
        <v>#DIV/0!</v>
      </c>
      <c r="G13" s="37" t="e">
        <f t="shared" si="0"/>
        <v>#DIV/0!</v>
      </c>
      <c r="H13" s="49">
        <f>+SUM($D$6:D14)*1000000/SUM($C$6:C14)</f>
        <v>0</v>
      </c>
      <c r="I13" s="49">
        <f>+H13/1000</f>
        <v>0</v>
      </c>
      <c r="J13" s="46">
        <f>+AVERAGE($D$6:D14)</f>
        <v>0</v>
      </c>
      <c r="K13" s="43" t="str">
        <f t="shared" si="3"/>
        <v>Sin eventos registrados</v>
      </c>
    </row>
    <row r="14" spans="1:18">
      <c r="A14" s="4">
        <v>46266</v>
      </c>
      <c r="B14" s="5"/>
      <c r="C14" s="5">
        <f t="shared" ref="C14:C17" si="5">B14*200</f>
        <v>0</v>
      </c>
      <c r="D14" s="5">
        <v>0</v>
      </c>
      <c r="E14" s="5">
        <v>0</v>
      </c>
      <c r="F14" s="26" t="e">
        <f t="shared" si="4"/>
        <v>#DIV/0!</v>
      </c>
      <c r="G14" s="37" t="e">
        <f t="shared" si="0"/>
        <v>#DIV/0!</v>
      </c>
      <c r="H14" s="49">
        <f>+SUM($D$6:D15)*1000000/SUM($C$6:C15)</f>
        <v>0</v>
      </c>
      <c r="I14" s="49">
        <f t="shared" si="2"/>
        <v>0</v>
      </c>
      <c r="J14" s="46">
        <f>+AVERAGE($D$6:D15)</f>
        <v>0</v>
      </c>
      <c r="K14" s="43" t="str">
        <f t="shared" si="3"/>
        <v>Sin eventos registrados</v>
      </c>
    </row>
    <row r="15" spans="1:18">
      <c r="A15" s="4">
        <v>46296</v>
      </c>
      <c r="B15" s="5"/>
      <c r="C15" s="5">
        <f t="shared" si="5"/>
        <v>0</v>
      </c>
      <c r="D15" s="5">
        <v>0</v>
      </c>
      <c r="E15" s="5">
        <v>0</v>
      </c>
      <c r="F15" s="26" t="e">
        <f t="shared" si="4"/>
        <v>#DIV/0!</v>
      </c>
      <c r="G15" s="37" t="e">
        <f t="shared" si="0"/>
        <v>#DIV/0!</v>
      </c>
      <c r="H15" s="49">
        <f>+SUM($D$6:D16)*1000000/SUM($C$6:C16)</f>
        <v>0</v>
      </c>
      <c r="I15" s="49">
        <f t="shared" si="2"/>
        <v>0</v>
      </c>
      <c r="J15" s="46">
        <f>+AVERAGE($D$6:D16)</f>
        <v>0</v>
      </c>
      <c r="K15" s="43" t="str">
        <f t="shared" si="3"/>
        <v>Sin eventos registrados</v>
      </c>
    </row>
    <row r="16" spans="1:18">
      <c r="A16" s="4">
        <v>46327</v>
      </c>
      <c r="B16" s="5"/>
      <c r="C16" s="5">
        <f t="shared" si="5"/>
        <v>0</v>
      </c>
      <c r="D16" s="5">
        <v>0</v>
      </c>
      <c r="E16" s="5">
        <v>0</v>
      </c>
      <c r="F16" s="26" t="e">
        <f t="shared" si="4"/>
        <v>#DIV/0!</v>
      </c>
      <c r="G16" s="37" t="e">
        <f>D16*1000000/C16</f>
        <v>#DIV/0!</v>
      </c>
      <c r="H16" s="49">
        <f>+SUM($D$6:D17)*1000000/SUM($C$6:C17)</f>
        <v>0</v>
      </c>
      <c r="I16" s="49">
        <f t="shared" si="2"/>
        <v>0</v>
      </c>
      <c r="J16" s="46">
        <f>+AVERAGE($D$6:D17)</f>
        <v>0</v>
      </c>
      <c r="K16" s="43" t="str">
        <f t="shared" si="3"/>
        <v>Sin eventos registrados</v>
      </c>
    </row>
    <row r="17" spans="1:12">
      <c r="A17" s="4">
        <v>46357</v>
      </c>
      <c r="B17" s="5"/>
      <c r="C17" s="5">
        <f t="shared" si="5"/>
        <v>0</v>
      </c>
      <c r="D17" s="5">
        <v>0</v>
      </c>
      <c r="E17" s="5">
        <v>0</v>
      </c>
      <c r="F17" s="26" t="e">
        <f t="shared" si="4"/>
        <v>#DIV/0!</v>
      </c>
      <c r="G17" s="37" t="e">
        <f t="shared" si="0"/>
        <v>#DIV/0!</v>
      </c>
      <c r="H17" s="49">
        <f>+SUM($D$6:D18)*1000000/SUM($C$6:C18)</f>
        <v>0</v>
      </c>
      <c r="I17" s="49">
        <f t="shared" si="2"/>
        <v>0</v>
      </c>
      <c r="J17" s="46">
        <f>+AVERAGE($D$6:D18)</f>
        <v>0</v>
      </c>
      <c r="K17" s="43" t="str">
        <f t="shared" si="3"/>
        <v>Sin eventos registrados</v>
      </c>
    </row>
    <row r="18" spans="1:12">
      <c r="A18" s="4"/>
      <c r="B18" s="5"/>
      <c r="C18" s="5"/>
      <c r="D18" s="5"/>
      <c r="E18" s="5"/>
      <c r="F18" s="5"/>
    </row>
    <row r="19" spans="1:12">
      <c r="A19" s="3" t="s">
        <v>326</v>
      </c>
      <c r="B19" s="5">
        <f>SUM(B6:B17)/12</f>
        <v>0.66666666666666663</v>
      </c>
      <c r="C19" s="5">
        <f>SUM(C6:C17)</f>
        <v>2520</v>
      </c>
      <c r="D19" s="5">
        <f>SUM(D6:D17)</f>
        <v>0</v>
      </c>
      <c r="E19" s="10">
        <f>SUM(E6:E17)</f>
        <v>0</v>
      </c>
      <c r="F19" s="5">
        <f>D19*1000/B19</f>
        <v>0</v>
      </c>
    </row>
    <row r="20" spans="1:12">
      <c r="A20" s="2"/>
    </row>
    <row r="21" spans="1:12">
      <c r="A21" s="2"/>
      <c r="H21" s="74"/>
      <c r="I21" s="74"/>
      <c r="J21" s="75"/>
      <c r="K21" s="75"/>
      <c r="L21" s="75"/>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 r="A28" s="16" t="s">
        <v>336</v>
      </c>
      <c r="B28" s="6"/>
      <c r="C28" s="7" t="s">
        <v>319</v>
      </c>
      <c r="D28" s="18" t="s">
        <v>329</v>
      </c>
      <c r="E28" s="23">
        <f>E19/B19</f>
        <v>0</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347</v>
      </c>
      <c r="F58" s="27"/>
    </row>
    <row r="59" spans="5:6">
      <c r="F59" s="27"/>
    </row>
  </sheetData>
  <mergeCells count="5">
    <mergeCell ref="F22:F23"/>
    <mergeCell ref="F25:F26"/>
    <mergeCell ref="F28:F29"/>
    <mergeCell ref="A31:F31"/>
    <mergeCell ref="A32:F32"/>
  </mergeCells>
  <phoneticPr fontId="0" type="noConversion"/>
  <printOptions horizontalCentered="1"/>
  <pageMargins left="0.98425196850393704" right="0.59055118110236227" top="0.59055118110236227" bottom="0.59055118110236227" header="0" footer="0"/>
  <pageSetup paperSize="9" scale="85"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519A9-CA17-4A45-BBA2-57CD569860DA}">
  <sheetPr>
    <tabColor theme="6" tint="-0.499984740745262"/>
    <pageSetUpPr fitToPage="1"/>
  </sheetPr>
  <dimension ref="A1:R59"/>
  <sheetViews>
    <sheetView topLeftCell="A4" workbookViewId="0">
      <selection activeCell="A6" sqref="A6:A17"/>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28515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26</v>
      </c>
      <c r="C2" s="9"/>
      <c r="F2" s="11"/>
      <c r="P2" s="1"/>
      <c r="Q2" s="9"/>
      <c r="R2" s="12"/>
    </row>
    <row r="3" spans="1:18" ht="21" customHeight="1">
      <c r="C3" s="9" t="s">
        <v>314</v>
      </c>
      <c r="H3" s="47" t="s">
        <v>315</v>
      </c>
      <c r="I3" s="47"/>
      <c r="K3" s="47" t="s">
        <v>315</v>
      </c>
    </row>
    <row r="4" spans="1:18" ht="60">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2</v>
      </c>
      <c r="C6" s="5">
        <f>B6*200</f>
        <v>400</v>
      </c>
      <c r="D6" s="5">
        <v>0</v>
      </c>
      <c r="E6" s="5">
        <v>0</v>
      </c>
      <c r="F6" s="5">
        <f t="shared" ref="F6:F17" si="0">D6*1000/B6*12</f>
        <v>0</v>
      </c>
      <c r="G6" s="37">
        <f>D6*1000000/C6</f>
        <v>0</v>
      </c>
      <c r="H6" s="49">
        <f>+SUM($D$6:D7)*1000000/SUM($C$6:C7)</f>
        <v>0</v>
      </c>
      <c r="I6" s="49">
        <f>+H6/1000</f>
        <v>0</v>
      </c>
      <c r="J6" s="46">
        <f>+AVERAGE($D$6:D7)</f>
        <v>0</v>
      </c>
      <c r="K6" s="43" t="str">
        <f>+IF(J6=0,"Sin eventos registrados",30/J6)</f>
        <v>Sin eventos registrados</v>
      </c>
    </row>
    <row r="7" spans="1:18">
      <c r="A7" s="4">
        <v>46054</v>
      </c>
      <c r="B7" s="5"/>
      <c r="C7" s="5">
        <f>B7*200</f>
        <v>0</v>
      </c>
      <c r="D7" s="5">
        <v>0</v>
      </c>
      <c r="E7" s="5">
        <v>0</v>
      </c>
      <c r="F7" s="5" t="e">
        <f t="shared" si="0"/>
        <v>#DIV/0!</v>
      </c>
      <c r="G7" s="37" t="e">
        <f>D7*1000000/C7</f>
        <v>#DIV/0!</v>
      </c>
      <c r="H7" s="49">
        <f>+SUM($D$6:D8)*1000000/SUM($C$6:C8)</f>
        <v>0</v>
      </c>
      <c r="I7" s="49">
        <f t="shared" ref="I7:I17" si="1">+H7/1000</f>
        <v>0</v>
      </c>
      <c r="J7" s="46">
        <f>+AVERAGE($D$6:D8)</f>
        <v>0</v>
      </c>
      <c r="K7" s="43" t="str">
        <f t="shared" ref="K7:K17" si="2">+IF(J7=0,"Sin eventos registrados",30/J7)</f>
        <v>Sin eventos registrados</v>
      </c>
    </row>
    <row r="8" spans="1:18">
      <c r="A8" s="4">
        <v>46082</v>
      </c>
      <c r="B8" s="5"/>
      <c r="C8" s="5">
        <f t="shared" ref="C8:C17" si="3">B8*200</f>
        <v>0</v>
      </c>
      <c r="D8" s="5">
        <v>0</v>
      </c>
      <c r="E8" s="5">
        <v>0</v>
      </c>
      <c r="F8" s="5" t="e">
        <f t="shared" si="0"/>
        <v>#DIV/0!</v>
      </c>
      <c r="G8" s="37" t="e">
        <f>D8*1000000/C8</f>
        <v>#DIV/0!</v>
      </c>
      <c r="H8" s="49">
        <f>+SUM($D$6:D9)*1000000/SUM($C$6:C9)</f>
        <v>0</v>
      </c>
      <c r="I8" s="49">
        <f t="shared" si="1"/>
        <v>0</v>
      </c>
      <c r="J8" s="46">
        <f>+AVERAGE($D$6:D9)</f>
        <v>0</v>
      </c>
      <c r="K8" s="43" t="str">
        <f t="shared" si="2"/>
        <v>Sin eventos registrados</v>
      </c>
    </row>
    <row r="9" spans="1:18">
      <c r="A9" s="4">
        <v>46113</v>
      </c>
      <c r="B9" s="5"/>
      <c r="C9" s="5">
        <f t="shared" si="3"/>
        <v>0</v>
      </c>
      <c r="D9" s="5">
        <v>0</v>
      </c>
      <c r="E9" s="5">
        <v>0</v>
      </c>
      <c r="F9" s="5" t="e">
        <f t="shared" si="0"/>
        <v>#DIV/0!</v>
      </c>
      <c r="G9" s="37" t="e">
        <f>D9*1000000/C9</f>
        <v>#DIV/0!</v>
      </c>
      <c r="H9" s="49">
        <f>+SUM($D$6:D10)*1000000/SUM($C$6:C10)</f>
        <v>0</v>
      </c>
      <c r="I9" s="49">
        <f>+H9/1000</f>
        <v>0</v>
      </c>
      <c r="J9" s="46">
        <f>+AVERAGE($D$6:D10)</f>
        <v>0</v>
      </c>
      <c r="K9" s="43" t="str">
        <f>+IF(J9=0,"Sin eventos registrados",30/J9)</f>
        <v>Sin eventos registrados</v>
      </c>
    </row>
    <row r="10" spans="1:18">
      <c r="A10" s="4">
        <v>46143</v>
      </c>
      <c r="B10" s="5"/>
      <c r="C10" s="5">
        <f t="shared" si="3"/>
        <v>0</v>
      </c>
      <c r="D10" s="5">
        <v>0</v>
      </c>
      <c r="E10" s="5">
        <v>0</v>
      </c>
      <c r="F10" s="5"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46174</v>
      </c>
      <c r="B11" s="5"/>
      <c r="C11" s="5">
        <f t="shared" si="3"/>
        <v>0</v>
      </c>
      <c r="D11" s="5">
        <v>0</v>
      </c>
      <c r="E11" s="5">
        <v>0</v>
      </c>
      <c r="F11" s="5" t="e">
        <f t="shared" si="0"/>
        <v>#DIV/0!</v>
      </c>
      <c r="G11" s="37" t="e">
        <f>D11*1000000/C11</f>
        <v>#DIV/0!</v>
      </c>
      <c r="H11" s="49">
        <f>+SUM($D$6:D12)*1000000/SUM($C$6:C12)</f>
        <v>0</v>
      </c>
      <c r="I11" s="49">
        <f t="shared" si="1"/>
        <v>0</v>
      </c>
      <c r="J11" s="46">
        <f>+AVERAGE($D$6:D12)</f>
        <v>0</v>
      </c>
      <c r="K11" s="43" t="str">
        <f t="shared" si="2"/>
        <v>Sin eventos registrados</v>
      </c>
    </row>
    <row r="12" spans="1:18">
      <c r="A12" s="4">
        <v>46204</v>
      </c>
      <c r="B12" s="5"/>
      <c r="C12" s="5">
        <f t="shared" si="3"/>
        <v>0</v>
      </c>
      <c r="D12" s="5">
        <v>0</v>
      </c>
      <c r="E12" s="5">
        <v>0</v>
      </c>
      <c r="F12" s="5" t="e">
        <f>D12*1000/B12</f>
        <v>#DIV/0!</v>
      </c>
      <c r="G12" s="37" t="e">
        <f>D12*1000000/C12</f>
        <v>#DIV/0!</v>
      </c>
      <c r="H12" s="49">
        <f>+SUM($D$6:D13)*1000000/SUM($C$6:C13)</f>
        <v>0</v>
      </c>
      <c r="I12" s="49">
        <f t="shared" si="1"/>
        <v>0</v>
      </c>
      <c r="J12" s="46">
        <f>+AVERAGE($D$6:D13)</f>
        <v>0</v>
      </c>
      <c r="K12" s="43" t="str">
        <f t="shared" si="2"/>
        <v>Sin eventos registrados</v>
      </c>
    </row>
    <row r="13" spans="1:18">
      <c r="A13" s="4">
        <v>46235</v>
      </c>
      <c r="B13" s="5"/>
      <c r="C13" s="5">
        <f t="shared" si="3"/>
        <v>0</v>
      </c>
      <c r="D13" s="5">
        <v>0</v>
      </c>
      <c r="E13" s="5">
        <v>0</v>
      </c>
      <c r="F13" s="5" t="e">
        <f>D13*1000/B13*12</f>
        <v>#DIV/0!</v>
      </c>
      <c r="G13" s="37" t="e">
        <f t="shared" si="4"/>
        <v>#DIV/0!</v>
      </c>
      <c r="H13" s="49">
        <f>+SUM($D$6:D14)*1000000/SUM($C$6:C14)</f>
        <v>0</v>
      </c>
      <c r="I13" s="49">
        <f>+H13/1000</f>
        <v>0</v>
      </c>
      <c r="J13" s="46">
        <f>+AVERAGE($D$6:D14)</f>
        <v>0</v>
      </c>
      <c r="K13" s="43" t="str">
        <f t="shared" si="2"/>
        <v>Sin eventos registrados</v>
      </c>
    </row>
    <row r="14" spans="1:18">
      <c r="A14" s="4">
        <v>46266</v>
      </c>
      <c r="B14" s="5"/>
      <c r="C14" s="5">
        <f t="shared" si="3"/>
        <v>0</v>
      </c>
      <c r="D14" s="5">
        <v>0</v>
      </c>
      <c r="E14" s="5">
        <v>0</v>
      </c>
      <c r="F14" s="5" t="e">
        <f t="shared" si="0"/>
        <v>#DIV/0!</v>
      </c>
      <c r="G14" s="37" t="e">
        <f t="shared" si="4"/>
        <v>#DIV/0!</v>
      </c>
      <c r="H14" s="49">
        <f>+SUM($D$6:D15)*1000000/SUM($C$6:C15)</f>
        <v>0</v>
      </c>
      <c r="I14" s="49">
        <f t="shared" si="1"/>
        <v>0</v>
      </c>
      <c r="J14" s="46">
        <f>+AVERAGE($D$6:D15)</f>
        <v>0</v>
      </c>
      <c r="K14" s="43" t="str">
        <f t="shared" si="2"/>
        <v>Sin eventos registrados</v>
      </c>
    </row>
    <row r="15" spans="1:18">
      <c r="A15" s="4">
        <v>46296</v>
      </c>
      <c r="B15" s="5"/>
      <c r="C15" s="5">
        <f t="shared" si="3"/>
        <v>0</v>
      </c>
      <c r="D15" s="5">
        <v>0</v>
      </c>
      <c r="E15" s="5">
        <v>0</v>
      </c>
      <c r="F15" s="5" t="e">
        <f t="shared" si="0"/>
        <v>#DIV/0!</v>
      </c>
      <c r="G15" s="37" t="e">
        <f t="shared" si="4"/>
        <v>#DIV/0!</v>
      </c>
      <c r="H15" s="49">
        <f>+SUM($D$6:D16)*1000000/SUM($C$6:C16)</f>
        <v>0</v>
      </c>
      <c r="I15" s="49">
        <f t="shared" si="1"/>
        <v>0</v>
      </c>
      <c r="J15" s="46">
        <f>+AVERAGE($D$6:D16)</f>
        <v>0</v>
      </c>
      <c r="K15" s="43" t="str">
        <f t="shared" si="2"/>
        <v>Sin eventos registrados</v>
      </c>
    </row>
    <row r="16" spans="1:18">
      <c r="A16" s="4">
        <v>46327</v>
      </c>
      <c r="B16" s="5"/>
      <c r="C16" s="5">
        <f t="shared" si="3"/>
        <v>0</v>
      </c>
      <c r="D16" s="5">
        <v>0</v>
      </c>
      <c r="E16" s="5">
        <v>0</v>
      </c>
      <c r="F16" s="5" t="e">
        <f t="shared" si="0"/>
        <v>#DIV/0!</v>
      </c>
      <c r="G16" s="37" t="e">
        <f t="shared" si="4"/>
        <v>#DIV/0!</v>
      </c>
      <c r="H16" s="49">
        <f>+SUM($D$6:D17)*1000000/SUM($C$6:C17)</f>
        <v>0</v>
      </c>
      <c r="I16" s="49">
        <f t="shared" si="1"/>
        <v>0</v>
      </c>
      <c r="J16" s="46">
        <f>+AVERAGE($D$6:D17)</f>
        <v>0</v>
      </c>
      <c r="K16" s="43" t="str">
        <f t="shared" si="2"/>
        <v>Sin eventos registrados</v>
      </c>
    </row>
    <row r="17" spans="1:12">
      <c r="A17" s="4">
        <v>46357</v>
      </c>
      <c r="B17" s="5"/>
      <c r="C17" s="5">
        <f t="shared" si="3"/>
        <v>0</v>
      </c>
      <c r="D17" s="5">
        <v>0</v>
      </c>
      <c r="E17" s="5">
        <v>0</v>
      </c>
      <c r="F17" s="5" t="e">
        <f t="shared" si="0"/>
        <v>#DIV/0!</v>
      </c>
      <c r="G17" s="37" t="e">
        <f t="shared" si="4"/>
        <v>#DIV/0!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SUM(B6:B17)/12</f>
        <v>0.16666666666666666</v>
      </c>
      <c r="C19" s="5">
        <f>SUM(C6:C17)</f>
        <v>400</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4"/>
      <c r="K22" s="74"/>
      <c r="L22" s="74"/>
    </row>
    <row r="23" spans="1:12" ht="20.25">
      <c r="A23" s="16"/>
      <c r="B23" s="6"/>
      <c r="C23" s="8" t="s">
        <v>331</v>
      </c>
      <c r="D23" s="18"/>
      <c r="E23" s="21"/>
      <c r="F23" s="215"/>
      <c r="H23" s="74"/>
      <c r="I23" s="74"/>
      <c r="J23" s="74"/>
      <c r="K23" s="74"/>
      <c r="L23" s="74"/>
    </row>
    <row r="24" spans="1:12" ht="20.25">
      <c r="A24" s="17"/>
      <c r="C24" s="2"/>
      <c r="D24" s="19"/>
      <c r="E24" s="22"/>
      <c r="F24" s="24"/>
      <c r="H24" s="74"/>
      <c r="I24" s="74"/>
      <c r="J24" s="74"/>
      <c r="K24" s="74"/>
      <c r="L24" s="74"/>
    </row>
    <row r="25" spans="1:12" ht="20.25" customHeight="1">
      <c r="A25" s="16" t="s">
        <v>332</v>
      </c>
      <c r="B25" s="6"/>
      <c r="C25" s="7" t="s">
        <v>333</v>
      </c>
      <c r="D25" s="18" t="s">
        <v>329</v>
      </c>
      <c r="E25" s="20">
        <f>D19*1000000/C19</f>
        <v>0</v>
      </c>
      <c r="F25" s="215" t="s">
        <v>334</v>
      </c>
      <c r="H25" s="74"/>
      <c r="I25" s="74"/>
      <c r="J25" s="74"/>
      <c r="K25" s="74"/>
      <c r="L25" s="74"/>
    </row>
    <row r="26" spans="1:12" ht="20.25">
      <c r="A26" s="16"/>
      <c r="B26" s="6"/>
      <c r="C26" s="8" t="s">
        <v>335</v>
      </c>
      <c r="D26" s="18"/>
      <c r="E26" s="21"/>
      <c r="F26" s="215"/>
      <c r="H26" s="74"/>
      <c r="I26" s="74"/>
      <c r="J26" s="74"/>
      <c r="K26" s="74"/>
      <c r="L26" s="74"/>
    </row>
    <row r="27" spans="1:12" ht="20.25">
      <c r="A27" s="17"/>
      <c r="D27" s="19"/>
      <c r="E27" s="22"/>
      <c r="F27" s="24"/>
      <c r="H27" s="74"/>
      <c r="I27" s="74"/>
      <c r="J27" s="74"/>
      <c r="K27" s="74"/>
      <c r="L27" s="74"/>
    </row>
    <row r="28" spans="1:12" ht="20.25" customHeight="1">
      <c r="A28" s="16" t="s">
        <v>336</v>
      </c>
      <c r="B28" s="6"/>
      <c r="C28" s="7" t="s">
        <v>319</v>
      </c>
      <c r="D28" s="18" t="s">
        <v>329</v>
      </c>
      <c r="E28" s="23">
        <f>E19/B19</f>
        <v>0</v>
      </c>
      <c r="F28" s="215" t="s">
        <v>337</v>
      </c>
      <c r="H28" s="74"/>
      <c r="I28" s="74"/>
      <c r="J28" s="74"/>
      <c r="K28" s="74"/>
      <c r="L28" s="74"/>
    </row>
    <row r="29" spans="1:12" ht="20.25">
      <c r="A29" s="16" t="s">
        <v>338</v>
      </c>
      <c r="B29" s="6"/>
      <c r="C29" s="8" t="s">
        <v>331</v>
      </c>
      <c r="D29" s="18"/>
      <c r="E29" s="21"/>
      <c r="F29" s="215"/>
      <c r="H29" s="74"/>
      <c r="I29" s="74"/>
      <c r="J29" s="74"/>
      <c r="K29" s="74"/>
      <c r="L29" s="74"/>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D916-8E86-4C4A-99E1-A6BF33E84FE2}">
  <sheetPr>
    <tabColor theme="6" tint="-0.499984740745262"/>
    <pageSetUpPr fitToPage="1"/>
  </sheetPr>
  <dimension ref="A1:R59"/>
  <sheetViews>
    <sheetView tabSelected="1" workbookViewId="0">
      <selection activeCell="J15" sqref="J15"/>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297</v>
      </c>
      <c r="C2" s="9"/>
      <c r="F2" s="11"/>
      <c r="P2" s="1"/>
      <c r="Q2" s="9"/>
      <c r="R2" s="12"/>
    </row>
    <row r="3" spans="1:18" ht="21" customHeight="1">
      <c r="C3" s="9" t="s">
        <v>314</v>
      </c>
      <c r="H3" s="47" t="s">
        <v>315</v>
      </c>
      <c r="I3" s="47"/>
      <c r="K3" s="47" t="s">
        <v>315</v>
      </c>
    </row>
    <row r="4" spans="1:18" ht="107.25">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57</v>
      </c>
      <c r="C6" s="41">
        <f>B6*200</f>
        <v>11400</v>
      </c>
      <c r="D6" s="203">
        <v>0</v>
      </c>
      <c r="E6" s="5">
        <v>0</v>
      </c>
      <c r="F6" s="38">
        <f>D6*1000/B6*12</f>
        <v>0</v>
      </c>
      <c r="G6" s="37">
        <f>D6*1000000/C6</f>
        <v>0</v>
      </c>
      <c r="H6" s="49">
        <f>+SUM($D$6:D7)*1000000/SUM($C$6:C7)</f>
        <v>0</v>
      </c>
      <c r="I6" s="49">
        <f>+H6/1000</f>
        <v>0</v>
      </c>
      <c r="J6" s="46">
        <f>+AVERAGE($D$6:D7)</f>
        <v>0</v>
      </c>
      <c r="K6" s="43" t="str">
        <f>+IF(J6=0,"Sin eventos registrados",30/J6)</f>
        <v>Sin eventos registrados</v>
      </c>
    </row>
    <row r="7" spans="1:18">
      <c r="A7" s="4">
        <v>46054</v>
      </c>
      <c r="B7" s="5">
        <v>0</v>
      </c>
      <c r="C7" s="41">
        <f>B7*200</f>
        <v>0</v>
      </c>
      <c r="D7" s="203">
        <v>0</v>
      </c>
      <c r="E7" s="5">
        <v>0</v>
      </c>
      <c r="F7" s="38" t="e">
        <f t="shared" ref="F7:F17" si="0">D7*1000/B7*12</f>
        <v>#DIV/0!</v>
      </c>
      <c r="G7" s="37" t="e">
        <f>D7*1000000/C7</f>
        <v>#DIV/0!</v>
      </c>
      <c r="H7" s="49">
        <f>+SUM($D$6:D8)*1000000/SUM($C$6:C8)</f>
        <v>0</v>
      </c>
      <c r="I7" s="49">
        <f t="shared" ref="I7:I17" si="1">+H7/1000</f>
        <v>0</v>
      </c>
      <c r="J7" s="46">
        <f>+AVERAGE($D$6:D8)</f>
        <v>0</v>
      </c>
      <c r="K7" s="43" t="str">
        <f t="shared" ref="K7:K17" si="2">+IF(J7=0,"Sin eventos registrados",30/J7)</f>
        <v>Sin eventos registrados</v>
      </c>
    </row>
    <row r="8" spans="1:18">
      <c r="A8" s="4">
        <v>46082</v>
      </c>
      <c r="B8" s="5">
        <v>0</v>
      </c>
      <c r="C8" s="41">
        <f>B8*2000</f>
        <v>0</v>
      </c>
      <c r="D8" s="203">
        <v>0</v>
      </c>
      <c r="E8" s="5">
        <v>0</v>
      </c>
      <c r="F8" s="38" t="e">
        <f t="shared" si="0"/>
        <v>#DIV/0!</v>
      </c>
      <c r="G8" s="37" t="e">
        <f>D8*1000000/C8</f>
        <v>#DIV/0!</v>
      </c>
      <c r="H8" s="49">
        <f>+SUM($D$6:D9)*1000000/SUM($C$6:C9)</f>
        <v>0</v>
      </c>
      <c r="I8" s="49">
        <f t="shared" si="1"/>
        <v>0</v>
      </c>
      <c r="J8" s="46">
        <f>+AVERAGE($D$6:D9)</f>
        <v>0</v>
      </c>
      <c r="K8" s="43" t="str">
        <f t="shared" si="2"/>
        <v>Sin eventos registrados</v>
      </c>
    </row>
    <row r="9" spans="1:18">
      <c r="A9" s="4">
        <v>46113</v>
      </c>
      <c r="B9" s="5">
        <v>0</v>
      </c>
      <c r="C9" s="41">
        <f>B9*2000</f>
        <v>0</v>
      </c>
      <c r="D9" s="203">
        <v>0</v>
      </c>
      <c r="E9" s="5">
        <v>0</v>
      </c>
      <c r="F9" s="38" t="e">
        <f t="shared" si="0"/>
        <v>#DIV/0!</v>
      </c>
      <c r="G9" s="37" t="e">
        <f>D9*1000000/C9</f>
        <v>#DIV/0!</v>
      </c>
      <c r="H9" s="49">
        <f>+SUM($D$6:D10)*1000000/SUM($C$6:C10)</f>
        <v>0</v>
      </c>
      <c r="I9" s="49">
        <f>+H9/1000</f>
        <v>0</v>
      </c>
      <c r="J9" s="46">
        <f>+AVERAGE($D$6:D10)</f>
        <v>0</v>
      </c>
      <c r="K9" s="43" t="str">
        <f>+IF(J9=0,"Sin eventos registrados",30/J9)</f>
        <v>Sin eventos registrados</v>
      </c>
    </row>
    <row r="10" spans="1:18">
      <c r="A10" s="4">
        <v>46143</v>
      </c>
      <c r="B10" s="5">
        <v>0</v>
      </c>
      <c r="C10" s="41">
        <f t="shared" ref="C10:C17" si="3">B10*8*22</f>
        <v>0</v>
      </c>
      <c r="D10" s="203">
        <v>0</v>
      </c>
      <c r="E10" s="5">
        <v>0</v>
      </c>
      <c r="F10" s="38"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46174</v>
      </c>
      <c r="B11" s="5">
        <v>0</v>
      </c>
      <c r="C11" s="41">
        <f t="shared" si="3"/>
        <v>0</v>
      </c>
      <c r="D11" s="203">
        <v>0</v>
      </c>
      <c r="E11" s="5">
        <v>0</v>
      </c>
      <c r="F11" s="38" t="e">
        <f>D11*1000/B11</f>
        <v>#DIV/0!</v>
      </c>
      <c r="G11" s="37" t="e">
        <f>D11*1000000/C11</f>
        <v>#DIV/0!</v>
      </c>
      <c r="H11" s="49">
        <f>+SUM($D$6:D12)*1000000/SUM($C$6:C12)</f>
        <v>0</v>
      </c>
      <c r="I11" s="49">
        <f t="shared" si="1"/>
        <v>0</v>
      </c>
      <c r="J11" s="46">
        <f>+AVERAGE($D$6:D12)</f>
        <v>0</v>
      </c>
      <c r="K11" s="43" t="str">
        <f t="shared" si="2"/>
        <v>Sin eventos registrados</v>
      </c>
    </row>
    <row r="12" spans="1:18">
      <c r="A12" s="4">
        <v>46204</v>
      </c>
      <c r="B12" s="5">
        <v>0</v>
      </c>
      <c r="C12" s="41">
        <f t="shared" si="3"/>
        <v>0</v>
      </c>
      <c r="D12" s="203">
        <v>0</v>
      </c>
      <c r="E12" s="5">
        <v>0</v>
      </c>
      <c r="F12" s="38" t="e">
        <f>D12*1000/B12*12</f>
        <v>#DIV/0!</v>
      </c>
      <c r="G12" s="37" t="e">
        <f t="shared" si="4"/>
        <v>#DIV/0!</v>
      </c>
      <c r="H12" s="49">
        <f>+SUM($D$6:D13)*1000000/SUM($C$6:C13)</f>
        <v>0</v>
      </c>
      <c r="I12" s="49">
        <f t="shared" si="1"/>
        <v>0</v>
      </c>
      <c r="J12" s="46">
        <f>+AVERAGE($D$6:D13)</f>
        <v>0</v>
      </c>
      <c r="K12" s="43" t="str">
        <f t="shared" si="2"/>
        <v>Sin eventos registrados</v>
      </c>
    </row>
    <row r="13" spans="1:18">
      <c r="A13" s="4">
        <v>46235</v>
      </c>
      <c r="B13" s="5">
        <v>0</v>
      </c>
      <c r="C13" s="41">
        <f>B13*200</f>
        <v>0</v>
      </c>
      <c r="D13" s="203">
        <v>0</v>
      </c>
      <c r="E13" s="5">
        <v>0</v>
      </c>
      <c r="F13" s="38" t="e">
        <f t="shared" si="0"/>
        <v>#DIV/0!</v>
      </c>
      <c r="G13" s="37" t="e">
        <f t="shared" si="4"/>
        <v>#DIV/0!</v>
      </c>
      <c r="H13" s="49">
        <f>+SUM($D$6:D14)*1000000/SUM($C$6:C14)</f>
        <v>0</v>
      </c>
      <c r="I13" s="49">
        <f>+H13/1000</f>
        <v>0</v>
      </c>
      <c r="J13" s="46">
        <f>+AVERAGE($D$6:D14)</f>
        <v>0</v>
      </c>
      <c r="K13" s="43" t="str">
        <f t="shared" si="2"/>
        <v>Sin eventos registrados</v>
      </c>
    </row>
    <row r="14" spans="1:18">
      <c r="A14" s="4">
        <v>46266</v>
      </c>
      <c r="B14" s="5">
        <v>0</v>
      </c>
      <c r="C14" s="41">
        <f t="shared" ref="C14:C15" si="5">B14*200</f>
        <v>0</v>
      </c>
      <c r="D14" s="203">
        <v>0</v>
      </c>
      <c r="E14" s="5">
        <v>0</v>
      </c>
      <c r="F14" s="38" t="e">
        <f t="shared" si="0"/>
        <v>#DIV/0!</v>
      </c>
      <c r="G14" s="37" t="e">
        <f t="shared" si="4"/>
        <v>#DIV/0!</v>
      </c>
      <c r="H14" s="49">
        <f>+SUM($D$6:D15)*1000000/SUM($C$6:C15)</f>
        <v>0</v>
      </c>
      <c r="I14" s="49">
        <f t="shared" si="1"/>
        <v>0</v>
      </c>
      <c r="J14" s="46">
        <f>+AVERAGE($D$6:D15)</f>
        <v>0</v>
      </c>
      <c r="K14" s="43" t="str">
        <f t="shared" si="2"/>
        <v>Sin eventos registrados</v>
      </c>
    </row>
    <row r="15" spans="1:18">
      <c r="A15" s="4">
        <v>46296</v>
      </c>
      <c r="B15" s="5">
        <v>0</v>
      </c>
      <c r="C15" s="41">
        <f t="shared" si="5"/>
        <v>0</v>
      </c>
      <c r="D15" s="203">
        <v>0</v>
      </c>
      <c r="E15" s="5">
        <v>0</v>
      </c>
      <c r="F15" s="38" t="e">
        <f t="shared" si="0"/>
        <v>#DIV/0!</v>
      </c>
      <c r="G15" s="37" t="e">
        <f t="shared" si="4"/>
        <v>#DIV/0!</v>
      </c>
      <c r="H15" s="49">
        <f>+SUM($D$6:D16)*1000000/SUM($C$6:C16)</f>
        <v>0</v>
      </c>
      <c r="I15" s="49">
        <f t="shared" si="1"/>
        <v>0</v>
      </c>
      <c r="J15" s="46">
        <f>+AVERAGE($D$6:D16)</f>
        <v>0</v>
      </c>
      <c r="K15" s="43" t="str">
        <f t="shared" si="2"/>
        <v>Sin eventos registrados</v>
      </c>
    </row>
    <row r="16" spans="1:18">
      <c r="A16" s="4">
        <v>46327</v>
      </c>
      <c r="B16" s="5">
        <v>0</v>
      </c>
      <c r="C16" s="41">
        <f t="shared" si="3"/>
        <v>0</v>
      </c>
      <c r="D16" s="5">
        <v>0</v>
      </c>
      <c r="E16" s="5">
        <v>0</v>
      </c>
      <c r="F16" s="38" t="e">
        <f t="shared" si="0"/>
        <v>#DIV/0!</v>
      </c>
      <c r="G16" s="37" t="e">
        <f t="shared" si="4"/>
        <v>#DIV/0!</v>
      </c>
      <c r="H16" s="49">
        <f>+SUM($D$6:D17)*1000000/SUM($C$6:C17)</f>
        <v>0</v>
      </c>
      <c r="I16" s="49">
        <f t="shared" si="1"/>
        <v>0</v>
      </c>
      <c r="J16" s="46">
        <f>+AVERAGE($D$6:D17)</f>
        <v>0</v>
      </c>
      <c r="K16" s="43" t="str">
        <f t="shared" si="2"/>
        <v>Sin eventos registrados</v>
      </c>
    </row>
    <row r="17" spans="1:12">
      <c r="A17" s="4">
        <v>46357</v>
      </c>
      <c r="B17" s="5">
        <v>0</v>
      </c>
      <c r="C17" s="41">
        <f t="shared" si="3"/>
        <v>0</v>
      </c>
      <c r="D17" s="5">
        <v>0</v>
      </c>
      <c r="E17" s="5">
        <v>0</v>
      </c>
      <c r="F17" s="38" t="e">
        <f t="shared" si="0"/>
        <v>#DIV/0!</v>
      </c>
      <c r="G17" s="37" t="e">
        <f t="shared" si="4"/>
        <v>#DIV/0!</v>
      </c>
      <c r="H17" s="49">
        <f>+SUM($D$6:D18)*1000000/SUM($C$6:C18)</f>
        <v>0</v>
      </c>
      <c r="I17" s="49">
        <f t="shared" si="1"/>
        <v>0</v>
      </c>
      <c r="J17" s="46">
        <f>+AVERAGE($D$6:D18)</f>
        <v>0</v>
      </c>
      <c r="K17" s="43" t="str">
        <f t="shared" si="2"/>
        <v>Sin eventos registrados</v>
      </c>
    </row>
    <row r="18" spans="1:12">
      <c r="A18" s="4"/>
      <c r="B18" s="5"/>
      <c r="C18" s="5"/>
      <c r="D18" s="5"/>
      <c r="E18" s="5"/>
      <c r="F18" s="38"/>
      <c r="G18" s="37"/>
    </row>
    <row r="19" spans="1:12">
      <c r="A19" s="3" t="s">
        <v>326</v>
      </c>
      <c r="B19" s="5">
        <f>SUM(B6:B17)/12</f>
        <v>4.75</v>
      </c>
      <c r="C19" s="5">
        <f>SUM(C6:C17)</f>
        <v>11400</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7EE3-46F6-457E-BAEB-3990CB1502D6}">
  <sheetPr>
    <tabColor theme="1"/>
    <pageSetUpPr fitToPage="1"/>
  </sheetPr>
  <dimension ref="A1:R59"/>
  <sheetViews>
    <sheetView topLeftCell="A7" workbookViewId="0">
      <selection activeCell="D17" sqref="D17"/>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2026</v>
      </c>
      <c r="P1" s="1"/>
      <c r="Q1" s="9"/>
      <c r="R1" s="12"/>
    </row>
    <row r="2" spans="1:18" ht="22.5">
      <c r="A2" s="14" t="s">
        <v>348</v>
      </c>
      <c r="C2" s="9"/>
      <c r="F2" s="11"/>
      <c r="P2" s="1"/>
      <c r="Q2" s="9"/>
      <c r="R2" s="12"/>
    </row>
    <row r="3" spans="1:18" ht="21" customHeight="1">
      <c r="C3" s="9" t="s">
        <v>314</v>
      </c>
      <c r="H3" s="47" t="s">
        <v>315</v>
      </c>
      <c r="I3" s="47"/>
      <c r="K3" s="47" t="s">
        <v>315</v>
      </c>
    </row>
    <row r="4" spans="1:18" ht="107.25">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46023</v>
      </c>
      <c r="B6" s="5">
        <v>79</v>
      </c>
      <c r="C6" s="41">
        <f>B6*200</f>
        <v>15800</v>
      </c>
      <c r="D6" s="203">
        <v>0</v>
      </c>
      <c r="E6" s="5">
        <v>0</v>
      </c>
      <c r="F6" s="38">
        <f>D6*1000/B6*12</f>
        <v>0</v>
      </c>
      <c r="G6" s="37">
        <f>D6*1000000/C6</f>
        <v>0</v>
      </c>
      <c r="H6" s="49">
        <f>+SUM($D$6:D7)*1000000/SUM($C$6:C7)</f>
        <v>0</v>
      </c>
      <c r="I6" s="49">
        <f>+H6/1000</f>
        <v>0</v>
      </c>
      <c r="J6" s="46">
        <f>+AVERAGE($D$6:D7)</f>
        <v>0</v>
      </c>
      <c r="K6" s="43" t="str">
        <f>+IF(J6=0,"Sin eventos registrados",30/J6)</f>
        <v>Sin eventos registrados</v>
      </c>
    </row>
    <row r="7" spans="1:18">
      <c r="A7" s="4">
        <v>46054</v>
      </c>
      <c r="B7" s="5">
        <v>0</v>
      </c>
      <c r="C7" s="41">
        <f>B7*200</f>
        <v>0</v>
      </c>
      <c r="D7" s="203">
        <v>0</v>
      </c>
      <c r="E7" s="5">
        <v>0</v>
      </c>
      <c r="F7" s="38" t="e">
        <f t="shared" ref="F7:F17" si="0">D7*1000/B7*12</f>
        <v>#DIV/0!</v>
      </c>
      <c r="G7" s="37" t="e">
        <f>D7*1000000/C7</f>
        <v>#DIV/0!</v>
      </c>
      <c r="H7" s="49">
        <f>+SUM($D$6:D8)*1000000/SUM($C$6:C8)</f>
        <v>0</v>
      </c>
      <c r="I7" s="49">
        <f t="shared" ref="I7:I17" si="1">+H7/1000</f>
        <v>0</v>
      </c>
      <c r="J7" s="46">
        <f>+AVERAGE($D$6:D8)</f>
        <v>0</v>
      </c>
      <c r="K7" s="43" t="str">
        <f t="shared" ref="K7:K17" si="2">+IF(J7=0,"Sin eventos registrados",30/J7)</f>
        <v>Sin eventos registrados</v>
      </c>
    </row>
    <row r="8" spans="1:18">
      <c r="A8" s="4">
        <v>46082</v>
      </c>
      <c r="B8" s="5">
        <v>0</v>
      </c>
      <c r="C8" s="41">
        <f>B8*2000</f>
        <v>0</v>
      </c>
      <c r="D8" s="203">
        <v>0</v>
      </c>
      <c r="E8" s="5">
        <v>0</v>
      </c>
      <c r="F8" s="38" t="e">
        <f t="shared" si="0"/>
        <v>#DIV/0!</v>
      </c>
      <c r="G8" s="37" t="e">
        <f>D8*1000000/C8</f>
        <v>#DIV/0!</v>
      </c>
      <c r="H8" s="49">
        <f>+SUM($D$6:D9)*1000000/SUM($C$6:C9)</f>
        <v>0</v>
      </c>
      <c r="I8" s="49">
        <f t="shared" si="1"/>
        <v>0</v>
      </c>
      <c r="J8" s="46">
        <f>+AVERAGE($D$6:D9)</f>
        <v>0</v>
      </c>
      <c r="K8" s="43" t="str">
        <f t="shared" si="2"/>
        <v>Sin eventos registrados</v>
      </c>
    </row>
    <row r="9" spans="1:18">
      <c r="A9" s="4">
        <v>46113</v>
      </c>
      <c r="B9" s="5">
        <v>0</v>
      </c>
      <c r="C9" s="41">
        <f>B9*2000</f>
        <v>0</v>
      </c>
      <c r="D9" s="203">
        <v>0</v>
      </c>
      <c r="E9" s="5">
        <v>0</v>
      </c>
      <c r="F9" s="38" t="e">
        <f t="shared" si="0"/>
        <v>#DIV/0!</v>
      </c>
      <c r="G9" s="37" t="e">
        <f>D9*1000000/C9</f>
        <v>#DIV/0!</v>
      </c>
      <c r="H9" s="49">
        <f>+SUM($D$6:D10)*1000000/SUM($C$6:C10)</f>
        <v>0</v>
      </c>
      <c r="I9" s="49">
        <f>+H9/1000</f>
        <v>0</v>
      </c>
      <c r="J9" s="46">
        <f>+AVERAGE($D$6:D10)</f>
        <v>0</v>
      </c>
      <c r="K9" s="43" t="str">
        <f>+IF(J9=0,"Sin eventos registrados",30/J9)</f>
        <v>Sin eventos registrados</v>
      </c>
    </row>
    <row r="10" spans="1:18">
      <c r="A10" s="4">
        <v>46143</v>
      </c>
      <c r="B10" s="5">
        <v>0</v>
      </c>
      <c r="C10" s="41">
        <f t="shared" ref="C10:C17" si="3">B10*8*22</f>
        <v>0</v>
      </c>
      <c r="D10" s="203">
        <v>0</v>
      </c>
      <c r="E10" s="5">
        <v>0</v>
      </c>
      <c r="F10" s="38"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46174</v>
      </c>
      <c r="B11" s="5">
        <v>0</v>
      </c>
      <c r="C11" s="41">
        <f t="shared" si="3"/>
        <v>0</v>
      </c>
      <c r="D11" s="203">
        <v>0</v>
      </c>
      <c r="E11" s="5">
        <v>0</v>
      </c>
      <c r="F11" s="38" t="e">
        <f>D11*1000/B11</f>
        <v>#DIV/0!</v>
      </c>
      <c r="G11" s="37" t="e">
        <f>D11*1000000/C11</f>
        <v>#DIV/0!</v>
      </c>
      <c r="H11" s="49">
        <f>+SUM($D$6:D12)*1000000/SUM($C$6:C12)</f>
        <v>0</v>
      </c>
      <c r="I11" s="49">
        <f t="shared" si="1"/>
        <v>0</v>
      </c>
      <c r="J11" s="46">
        <f>+AVERAGE($D$6:D12)</f>
        <v>0</v>
      </c>
      <c r="K11" s="43" t="str">
        <f t="shared" si="2"/>
        <v>Sin eventos registrados</v>
      </c>
    </row>
    <row r="12" spans="1:18">
      <c r="A12" s="4">
        <v>46204</v>
      </c>
      <c r="B12" s="5">
        <v>0</v>
      </c>
      <c r="C12" s="41">
        <f t="shared" si="3"/>
        <v>0</v>
      </c>
      <c r="D12" s="203">
        <v>0</v>
      </c>
      <c r="E12" s="5">
        <v>0</v>
      </c>
      <c r="F12" s="38" t="e">
        <f>D12*1000/B12*12</f>
        <v>#DIV/0!</v>
      </c>
      <c r="G12" s="37" t="e">
        <f t="shared" si="4"/>
        <v>#DIV/0!</v>
      </c>
      <c r="H12" s="49">
        <f>+SUM($D$6:D13)*1000000/SUM($C$6:C13)</f>
        <v>0</v>
      </c>
      <c r="I12" s="49">
        <f t="shared" si="1"/>
        <v>0</v>
      </c>
      <c r="J12" s="46">
        <f>+AVERAGE($D$6:D13)</f>
        <v>0</v>
      </c>
      <c r="K12" s="43" t="str">
        <f t="shared" si="2"/>
        <v>Sin eventos registrados</v>
      </c>
    </row>
    <row r="13" spans="1:18">
      <c r="A13" s="4">
        <v>46235</v>
      </c>
      <c r="B13" s="5">
        <v>0</v>
      </c>
      <c r="C13" s="41">
        <f>B13*200</f>
        <v>0</v>
      </c>
      <c r="D13" s="203">
        <v>0</v>
      </c>
      <c r="E13" s="5">
        <v>0</v>
      </c>
      <c r="F13" s="38" t="e">
        <f t="shared" si="0"/>
        <v>#DIV/0!</v>
      </c>
      <c r="G13" s="37" t="e">
        <f t="shared" si="4"/>
        <v>#DIV/0!</v>
      </c>
      <c r="H13" s="49">
        <f>+SUM($D$6:D14)*1000000/SUM($C$6:C14)</f>
        <v>0</v>
      </c>
      <c r="I13" s="49">
        <f>+H13/1000</f>
        <v>0</v>
      </c>
      <c r="J13" s="46">
        <f>+AVERAGE($D$6:D14)</f>
        <v>0</v>
      </c>
      <c r="K13" s="43" t="str">
        <f t="shared" si="2"/>
        <v>Sin eventos registrados</v>
      </c>
    </row>
    <row r="14" spans="1:18">
      <c r="A14" s="4">
        <v>46266</v>
      </c>
      <c r="B14" s="5">
        <v>0</v>
      </c>
      <c r="C14" s="41">
        <f t="shared" ref="C14:C15" si="5">B14*200</f>
        <v>0</v>
      </c>
      <c r="D14" s="203">
        <v>0</v>
      </c>
      <c r="E14" s="5">
        <v>0</v>
      </c>
      <c r="F14" s="38" t="e">
        <f t="shared" si="0"/>
        <v>#DIV/0!</v>
      </c>
      <c r="G14" s="37" t="e">
        <f t="shared" si="4"/>
        <v>#DIV/0!</v>
      </c>
      <c r="H14" s="49">
        <f>+SUM($D$6:D15)*1000000/SUM($C$6:C15)</f>
        <v>0</v>
      </c>
      <c r="I14" s="49">
        <f t="shared" si="1"/>
        <v>0</v>
      </c>
      <c r="J14" s="46">
        <f>+AVERAGE($D$6:D15)</f>
        <v>0</v>
      </c>
      <c r="K14" s="43" t="str">
        <f t="shared" si="2"/>
        <v>Sin eventos registrados</v>
      </c>
    </row>
    <row r="15" spans="1:18">
      <c r="A15" s="4">
        <v>46296</v>
      </c>
      <c r="B15" s="5">
        <v>0</v>
      </c>
      <c r="C15" s="41">
        <f t="shared" si="5"/>
        <v>0</v>
      </c>
      <c r="D15" s="203">
        <v>0</v>
      </c>
      <c r="E15" s="5">
        <v>0</v>
      </c>
      <c r="F15" s="38" t="e">
        <f t="shared" si="0"/>
        <v>#DIV/0!</v>
      </c>
      <c r="G15" s="37" t="e">
        <f t="shared" si="4"/>
        <v>#DIV/0!</v>
      </c>
      <c r="H15" s="49">
        <f>+SUM($D$6:D16)*1000000/SUM($C$6:C16)</f>
        <v>0</v>
      </c>
      <c r="I15" s="49">
        <f t="shared" si="1"/>
        <v>0</v>
      </c>
      <c r="J15" s="46">
        <f>+AVERAGE($D$6:D16)</f>
        <v>0</v>
      </c>
      <c r="K15" s="43" t="str">
        <f t="shared" si="2"/>
        <v>Sin eventos registrados</v>
      </c>
    </row>
    <row r="16" spans="1:18">
      <c r="A16" s="4">
        <v>46327</v>
      </c>
      <c r="B16" s="5">
        <v>0</v>
      </c>
      <c r="C16" s="41">
        <f t="shared" si="3"/>
        <v>0</v>
      </c>
      <c r="D16" s="5">
        <v>0</v>
      </c>
      <c r="E16" s="5">
        <v>9</v>
      </c>
      <c r="F16" s="38" t="e">
        <f t="shared" si="0"/>
        <v>#DIV/0!</v>
      </c>
      <c r="G16" s="37" t="e">
        <f t="shared" si="4"/>
        <v>#DIV/0!</v>
      </c>
      <c r="H16" s="49">
        <f>+SUM($D$6:D17)*1000000/SUM($C$6:C17)</f>
        <v>0</v>
      </c>
      <c r="I16" s="49">
        <f t="shared" si="1"/>
        <v>0</v>
      </c>
      <c r="J16" s="46">
        <f>+AVERAGE($D$6:D17)</f>
        <v>0</v>
      </c>
      <c r="K16" s="43" t="str">
        <f t="shared" si="2"/>
        <v>Sin eventos registrados</v>
      </c>
    </row>
    <row r="17" spans="1:12">
      <c r="A17" s="4">
        <v>46357</v>
      </c>
      <c r="B17" s="5">
        <v>0</v>
      </c>
      <c r="C17" s="41">
        <f t="shared" si="3"/>
        <v>0</v>
      </c>
      <c r="D17" s="5">
        <v>0</v>
      </c>
      <c r="E17" s="5">
        <v>0</v>
      </c>
      <c r="F17" s="38" t="e">
        <f t="shared" si="0"/>
        <v>#DIV/0!</v>
      </c>
      <c r="G17" s="37" t="e">
        <f t="shared" si="4"/>
        <v>#DIV/0!</v>
      </c>
      <c r="H17" s="49">
        <f>+SUM($D$6:D18)*1000000/SUM($C$6:C18)</f>
        <v>0</v>
      </c>
      <c r="I17" s="49">
        <f t="shared" si="1"/>
        <v>0</v>
      </c>
      <c r="J17" s="46">
        <f>+AVERAGE($D$6:D18)</f>
        <v>0</v>
      </c>
      <c r="K17" s="43" t="str">
        <f t="shared" si="2"/>
        <v>Sin eventos registrados</v>
      </c>
    </row>
    <row r="18" spans="1:12">
      <c r="A18" s="4"/>
      <c r="B18" s="5"/>
      <c r="C18" s="5"/>
      <c r="D18" s="5"/>
      <c r="E18" s="5"/>
      <c r="F18" s="38"/>
      <c r="G18" s="37"/>
    </row>
    <row r="19" spans="1:12">
      <c r="A19" s="3" t="s">
        <v>326</v>
      </c>
      <c r="B19" s="5">
        <f>SUM(B6:B17)/12</f>
        <v>6.583333333333333</v>
      </c>
      <c r="C19" s="5">
        <f>SUM(C6:C17)</f>
        <v>15800</v>
      </c>
      <c r="D19" s="5">
        <f>SUM(D6:D17)</f>
        <v>0</v>
      </c>
      <c r="E19" s="10">
        <f>SUM(E6:E17)</f>
        <v>9</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1.3670886075949367</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pageSetUpPr fitToPage="1"/>
  </sheetPr>
  <dimension ref="A1:R59"/>
  <sheetViews>
    <sheetView topLeftCell="A3" workbookViewId="0">
      <selection activeCell="C17" sqref="C17"/>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20.710937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313</v>
      </c>
      <c r="C2" s="9"/>
      <c r="F2" s="11"/>
      <c r="P2" s="1"/>
      <c r="Q2" s="9"/>
      <c r="R2" s="12"/>
    </row>
    <row r="3" spans="1:18" ht="21" customHeight="1">
      <c r="C3" s="9" t="s">
        <v>314</v>
      </c>
      <c r="H3" s="47" t="s">
        <v>315</v>
      </c>
      <c r="I3" s="47"/>
      <c r="K3" s="47" t="s">
        <v>315</v>
      </c>
    </row>
    <row r="4" spans="1:18" ht="52.9">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12</v>
      </c>
      <c r="C6" s="5">
        <v>2280</v>
      </c>
      <c r="D6" s="5">
        <v>0</v>
      </c>
      <c r="E6" s="5">
        <v>0</v>
      </c>
      <c r="F6" s="5">
        <f t="shared" ref="F6:F17" si="0">D6*1000/B6*12</f>
        <v>0</v>
      </c>
      <c r="G6" s="37">
        <f>D6*1000000/C6</f>
        <v>0</v>
      </c>
      <c r="H6" s="49">
        <f>+SUM($D$6:D7)*1000000/SUM($C$6:C7)</f>
        <v>0</v>
      </c>
      <c r="I6" s="49">
        <f>+H6/1000</f>
        <v>0</v>
      </c>
      <c r="J6" s="46">
        <f>+AVERAGE($D$6:D7)</f>
        <v>0</v>
      </c>
      <c r="K6" s="43" t="str">
        <f>+IF(J6=0,"Sin eventos registrados",30/J6)</f>
        <v>Sin eventos registrados</v>
      </c>
    </row>
    <row r="7" spans="1:18">
      <c r="A7" s="4">
        <v>45689</v>
      </c>
      <c r="B7" s="5">
        <v>12</v>
      </c>
      <c r="C7" s="5">
        <v>1576</v>
      </c>
      <c r="D7" s="5">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45717</v>
      </c>
      <c r="B8" s="5">
        <v>9</v>
      </c>
      <c r="C8" s="5">
        <f>B8*200</f>
        <v>1800</v>
      </c>
      <c r="D8" s="5">
        <v>0</v>
      </c>
      <c r="E8" s="5">
        <v>0</v>
      </c>
      <c r="F8" s="5">
        <f t="shared" si="0"/>
        <v>0</v>
      </c>
      <c r="G8" s="37">
        <f>D8*1000000/C8</f>
        <v>0</v>
      </c>
      <c r="H8" s="49">
        <f>+SUM($D$6:D9)*1000000/SUM($C$6:C9)</f>
        <v>0</v>
      </c>
      <c r="I8" s="49">
        <f t="shared" si="1"/>
        <v>0</v>
      </c>
      <c r="J8" s="46">
        <f>+AVERAGE($D$6:D9)</f>
        <v>0</v>
      </c>
      <c r="K8" s="43" t="str">
        <f t="shared" si="2"/>
        <v>Sin eventos registrados</v>
      </c>
    </row>
    <row r="9" spans="1:18">
      <c r="A9" s="4">
        <v>45748</v>
      </c>
      <c r="B9" s="5">
        <v>9</v>
      </c>
      <c r="C9" s="5">
        <f>B9*200</f>
        <v>1800</v>
      </c>
      <c r="D9" s="5">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45778</v>
      </c>
      <c r="B10" s="5">
        <v>15</v>
      </c>
      <c r="C10" s="5">
        <f>B10*200</f>
        <v>3000</v>
      </c>
      <c r="D10" s="5">
        <v>0</v>
      </c>
      <c r="E10" s="5">
        <v>0</v>
      </c>
      <c r="F10" s="5">
        <f t="shared" si="0"/>
        <v>0</v>
      </c>
      <c r="G10" s="37">
        <f t="shared" ref="G10:G17" si="3">D10*1000000/C10</f>
        <v>0</v>
      </c>
      <c r="H10" s="49">
        <f>+SUM($D$6:D11)*1000000/SUM($C$6:C11)</f>
        <v>0</v>
      </c>
      <c r="I10" s="49">
        <f t="shared" si="1"/>
        <v>0</v>
      </c>
      <c r="J10" s="46">
        <f>+AVERAGE($D$6:D11)</f>
        <v>0</v>
      </c>
      <c r="K10" s="43" t="str">
        <f>+IF(J10=0,"Sin eventos registrados",30/J10)</f>
        <v>Sin eventos registrados</v>
      </c>
    </row>
    <row r="11" spans="1:18">
      <c r="A11" s="4">
        <v>45809</v>
      </c>
      <c r="B11" s="5">
        <v>10</v>
      </c>
      <c r="C11" s="5">
        <f>B11*200</f>
        <v>2000</v>
      </c>
      <c r="D11" s="5">
        <v>0</v>
      </c>
      <c r="E11" s="5">
        <v>0</v>
      </c>
      <c r="F11" s="5">
        <f t="shared" si="0"/>
        <v>0</v>
      </c>
      <c r="G11" s="37">
        <f>D11*1000000/C11</f>
        <v>0</v>
      </c>
      <c r="H11" s="49">
        <f>+SUM($D$6:D12)*1000000/SUM($C$6:C12)</f>
        <v>0</v>
      </c>
      <c r="I11" s="49">
        <f t="shared" si="1"/>
        <v>0</v>
      </c>
      <c r="J11" s="46">
        <f>+AVERAGE($D$6:D12)</f>
        <v>0</v>
      </c>
      <c r="K11" s="43" t="str">
        <f t="shared" si="2"/>
        <v>Sin eventos registrados</v>
      </c>
    </row>
    <row r="12" spans="1:18">
      <c r="A12" s="4">
        <v>45839</v>
      </c>
      <c r="B12" s="5">
        <v>10</v>
      </c>
      <c r="C12" s="5">
        <f t="shared" ref="C12:C17" si="4">B12*200</f>
        <v>2000</v>
      </c>
      <c r="D12" s="5">
        <v>0</v>
      </c>
      <c r="E12" s="5">
        <v>0</v>
      </c>
      <c r="F12" s="5">
        <f>D12*1000/B12</f>
        <v>0</v>
      </c>
      <c r="G12" s="37">
        <f>D12*1000000/C12</f>
        <v>0</v>
      </c>
      <c r="H12" s="49">
        <f>+SUM($D$6:D13)*1000000/SUM($C$6:C13)</f>
        <v>0</v>
      </c>
      <c r="I12" s="49">
        <f t="shared" si="1"/>
        <v>0</v>
      </c>
      <c r="J12" s="46">
        <f>+AVERAGE($D$6:D13)</f>
        <v>0</v>
      </c>
      <c r="K12" s="43" t="str">
        <f t="shared" si="2"/>
        <v>Sin eventos registrados</v>
      </c>
    </row>
    <row r="13" spans="1:18">
      <c r="A13" s="4">
        <v>45870</v>
      </c>
      <c r="B13" s="5">
        <v>11</v>
      </c>
      <c r="C13" s="5">
        <f t="shared" si="4"/>
        <v>2200</v>
      </c>
      <c r="D13" s="5">
        <v>0</v>
      </c>
      <c r="E13" s="5">
        <v>0</v>
      </c>
      <c r="F13" s="5">
        <f>D13*1000/B13*12</f>
        <v>0</v>
      </c>
      <c r="G13" s="37">
        <f t="shared" si="3"/>
        <v>0</v>
      </c>
      <c r="H13" s="49">
        <f>+SUM($D$6:D14)*1000000/SUM($C$6:C14)</f>
        <v>0</v>
      </c>
      <c r="I13" s="49">
        <f>+H13/1000</f>
        <v>0</v>
      </c>
      <c r="J13" s="46">
        <f>+AVERAGE($D$6:D14)</f>
        <v>0</v>
      </c>
      <c r="K13" s="43" t="str">
        <f t="shared" si="2"/>
        <v>Sin eventos registrados</v>
      </c>
    </row>
    <row r="14" spans="1:18">
      <c r="A14" s="4">
        <v>45901</v>
      </c>
      <c r="B14" s="5">
        <v>11</v>
      </c>
      <c r="C14" s="5">
        <f t="shared" si="4"/>
        <v>2200</v>
      </c>
      <c r="D14" s="5">
        <v>0</v>
      </c>
      <c r="E14" s="5">
        <v>0</v>
      </c>
      <c r="F14" s="5">
        <f t="shared" si="0"/>
        <v>0</v>
      </c>
      <c r="G14" s="37">
        <f t="shared" si="3"/>
        <v>0</v>
      </c>
      <c r="H14" s="49">
        <f>+SUM($D$6:D15)*1000000/SUM($C$6:C15)</f>
        <v>0</v>
      </c>
      <c r="I14" s="49">
        <f t="shared" si="1"/>
        <v>0</v>
      </c>
      <c r="J14" s="46">
        <f>+AVERAGE($D$6:D15)</f>
        <v>0</v>
      </c>
      <c r="K14" s="43" t="str">
        <f t="shared" si="2"/>
        <v>Sin eventos registrados</v>
      </c>
    </row>
    <row r="15" spans="1:18">
      <c r="A15" s="4">
        <v>45931</v>
      </c>
      <c r="B15" s="5">
        <v>11</v>
      </c>
      <c r="C15" s="5">
        <f t="shared" si="4"/>
        <v>2200</v>
      </c>
      <c r="D15" s="5">
        <v>0</v>
      </c>
      <c r="E15" s="5">
        <v>0</v>
      </c>
      <c r="F15" s="5">
        <f t="shared" si="0"/>
        <v>0</v>
      </c>
      <c r="G15" s="37">
        <f t="shared" si="3"/>
        <v>0</v>
      </c>
      <c r="H15" s="49">
        <f>+SUM($D$6:D16)*1000000/SUM($C$6:C16)</f>
        <v>0</v>
      </c>
      <c r="I15" s="49">
        <f t="shared" si="1"/>
        <v>0</v>
      </c>
      <c r="J15" s="46">
        <f>+AVERAGE($D$6:D16)</f>
        <v>0</v>
      </c>
      <c r="K15" s="43" t="str">
        <f t="shared" si="2"/>
        <v>Sin eventos registrados</v>
      </c>
    </row>
    <row r="16" spans="1:18">
      <c r="A16" s="4">
        <v>45962</v>
      </c>
      <c r="B16" s="5">
        <v>11</v>
      </c>
      <c r="C16" s="5">
        <f t="shared" si="4"/>
        <v>2200</v>
      </c>
      <c r="D16" s="5">
        <v>0</v>
      </c>
      <c r="E16" s="5">
        <v>0</v>
      </c>
      <c r="F16" s="5">
        <f t="shared" si="0"/>
        <v>0</v>
      </c>
      <c r="G16" s="37">
        <f t="shared" si="3"/>
        <v>0</v>
      </c>
      <c r="H16" s="49">
        <f>+SUM($D$6:D17)*1000000/SUM($C$6:C17)</f>
        <v>0</v>
      </c>
      <c r="I16" s="49">
        <f t="shared" si="1"/>
        <v>0</v>
      </c>
      <c r="J16" s="46">
        <f>+AVERAGE($D$6:D17)</f>
        <v>0</v>
      </c>
      <c r="K16" s="43" t="str">
        <f t="shared" si="2"/>
        <v>Sin eventos registrados</v>
      </c>
    </row>
    <row r="17" spans="1:12">
      <c r="A17" s="4">
        <v>45992</v>
      </c>
      <c r="B17" s="5">
        <v>12</v>
      </c>
      <c r="C17" s="5">
        <f t="shared" si="4"/>
        <v>2400</v>
      </c>
      <c r="D17" s="5">
        <v>0</v>
      </c>
      <c r="E17" s="5">
        <v>0</v>
      </c>
      <c r="F17" s="5">
        <f t="shared" si="0"/>
        <v>0</v>
      </c>
      <c r="G17" s="37">
        <f t="shared" si="3"/>
        <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SUM(B6:B17)/12</f>
        <v>11.083333333333334</v>
      </c>
      <c r="C19" s="5">
        <f>SUM(C6:C17)</f>
        <v>25656</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1"/>
    <pageSetUpPr fitToPage="1"/>
  </sheetPr>
  <dimension ref="A1:R59"/>
  <sheetViews>
    <sheetView topLeftCell="A6" workbookViewId="0">
      <selection activeCell="C19" sqref="C19"/>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710937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341</v>
      </c>
      <c r="C2" s="9"/>
      <c r="F2" s="11"/>
      <c r="P2" s="1"/>
      <c r="Q2" s="9"/>
      <c r="R2" s="12"/>
    </row>
    <row r="3" spans="1:18" ht="21" customHeight="1">
      <c r="C3" s="9" t="s">
        <v>314</v>
      </c>
      <c r="H3" s="47" t="s">
        <v>315</v>
      </c>
      <c r="I3" s="47"/>
      <c r="K3" s="47" t="s">
        <v>315</v>
      </c>
    </row>
    <row r="4" spans="1:18" ht="6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15</v>
      </c>
      <c r="C6" s="5">
        <v>2672</v>
      </c>
      <c r="D6" s="5">
        <v>0</v>
      </c>
      <c r="E6" s="5">
        <v>0</v>
      </c>
      <c r="F6" s="5">
        <f t="shared" ref="F6:F17" si="0">D6*1000/B6*12</f>
        <v>0</v>
      </c>
      <c r="G6" s="37">
        <f>D6*1000000/C6</f>
        <v>0</v>
      </c>
      <c r="H6" s="49">
        <f>+SUM($D$6:D7)*1000000/SUM($C$6:C7)</f>
        <v>0</v>
      </c>
      <c r="I6" s="49">
        <f>+H6/1000</f>
        <v>0</v>
      </c>
      <c r="J6" s="46">
        <f>+AVERAGE($D$6:D7)</f>
        <v>0</v>
      </c>
      <c r="K6" s="43" t="str">
        <f>+IF(J6=0,"Sin eventos registrados",30/J6)</f>
        <v>Sin eventos registrados</v>
      </c>
    </row>
    <row r="7" spans="1:18">
      <c r="A7" s="4">
        <v>45689</v>
      </c>
      <c r="B7" s="5">
        <v>15</v>
      </c>
      <c r="C7" s="5">
        <f>B7*200</f>
        <v>3000</v>
      </c>
      <c r="D7" s="5">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45717</v>
      </c>
      <c r="B8" s="5">
        <v>15</v>
      </c>
      <c r="C8" s="5">
        <f t="shared" ref="C8:C17" si="3">B8*8*22</f>
        <v>2640</v>
      </c>
      <c r="D8" s="5">
        <v>0</v>
      </c>
      <c r="E8" s="5">
        <v>0</v>
      </c>
      <c r="F8" s="5">
        <f t="shared" si="0"/>
        <v>0</v>
      </c>
      <c r="G8" s="37">
        <f>D8*1000000/C8</f>
        <v>0</v>
      </c>
      <c r="H8" s="49">
        <f>+SUM($D$6:D9)*1000000/SUM($C$6:C9)</f>
        <v>0</v>
      </c>
      <c r="I8" s="49">
        <f t="shared" si="1"/>
        <v>0</v>
      </c>
      <c r="J8" s="46">
        <f>+AVERAGE($D$6:D9)</f>
        <v>0</v>
      </c>
      <c r="K8" s="43" t="str">
        <f t="shared" si="2"/>
        <v>Sin eventos registrados</v>
      </c>
    </row>
    <row r="9" spans="1:18">
      <c r="A9" s="4">
        <v>45748</v>
      </c>
      <c r="B9" s="5">
        <v>15</v>
      </c>
      <c r="C9" s="5">
        <f t="shared" si="3"/>
        <v>2640</v>
      </c>
      <c r="D9" s="5">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45778</v>
      </c>
      <c r="B10" s="5">
        <v>14</v>
      </c>
      <c r="C10" s="5">
        <f>B10*200</f>
        <v>2800</v>
      </c>
      <c r="D10" s="5">
        <v>0</v>
      </c>
      <c r="E10" s="5">
        <v>0</v>
      </c>
      <c r="F10" s="5">
        <f t="shared" si="0"/>
        <v>0</v>
      </c>
      <c r="G10" s="37">
        <f t="shared" ref="G10:G17" si="4">D10*1000000/C10</f>
        <v>0</v>
      </c>
      <c r="H10" s="49">
        <f>+SUM($D$6:D11)*1000000/SUM($C$6:C11)</f>
        <v>0</v>
      </c>
      <c r="I10" s="49">
        <f t="shared" si="1"/>
        <v>0</v>
      </c>
      <c r="J10" s="46">
        <f>+AVERAGE($D$6:D11)</f>
        <v>0</v>
      </c>
      <c r="K10" s="43" t="str">
        <f>+IF(J10=0,"Sin eventos registrados",30/J10)</f>
        <v>Sin eventos registrados</v>
      </c>
    </row>
    <row r="11" spans="1:18">
      <c r="A11" s="4">
        <v>45809</v>
      </c>
      <c r="B11" s="5">
        <v>13</v>
      </c>
      <c r="C11" s="5">
        <f t="shared" ref="C11:C12" si="5">B11*200</f>
        <v>2600</v>
      </c>
      <c r="D11" s="5">
        <v>0</v>
      </c>
      <c r="E11" s="5">
        <v>0</v>
      </c>
      <c r="F11" s="5">
        <f t="shared" si="0"/>
        <v>0</v>
      </c>
      <c r="G11" s="37">
        <f>D11*1000000/C11</f>
        <v>0</v>
      </c>
      <c r="H11" s="49">
        <f>+SUM($D$6:D12)*1000000/SUM($C$6:C12)</f>
        <v>0</v>
      </c>
      <c r="I11" s="49">
        <f t="shared" si="1"/>
        <v>0</v>
      </c>
      <c r="J11" s="46">
        <f>+AVERAGE($D$6:D12)</f>
        <v>0</v>
      </c>
      <c r="K11" s="43" t="str">
        <f t="shared" si="2"/>
        <v>Sin eventos registrados</v>
      </c>
    </row>
    <row r="12" spans="1:18">
      <c r="A12" s="4">
        <v>45839</v>
      </c>
      <c r="B12" s="5">
        <v>13</v>
      </c>
      <c r="C12" s="5">
        <f t="shared" si="5"/>
        <v>2600</v>
      </c>
      <c r="D12" s="5">
        <v>0</v>
      </c>
      <c r="E12" s="5">
        <v>0</v>
      </c>
      <c r="F12" s="5">
        <f>D12*1000/B12</f>
        <v>0</v>
      </c>
      <c r="G12" s="37">
        <f>D12*1000000/C12</f>
        <v>0</v>
      </c>
      <c r="H12" s="49">
        <f>+SUM($D$6:D13)*1000000/SUM($C$6:C13)</f>
        <v>0</v>
      </c>
      <c r="I12" s="49">
        <f t="shared" si="1"/>
        <v>0</v>
      </c>
      <c r="J12" s="46">
        <f>+AVERAGE($D$6:D13)</f>
        <v>0</v>
      </c>
      <c r="K12" s="43" t="str">
        <f t="shared" si="2"/>
        <v>Sin eventos registrados</v>
      </c>
    </row>
    <row r="13" spans="1:18">
      <c r="A13" s="4">
        <v>45870</v>
      </c>
      <c r="B13" s="5">
        <v>12</v>
      </c>
      <c r="C13" s="5">
        <f t="shared" si="3"/>
        <v>2112</v>
      </c>
      <c r="D13" s="5">
        <v>0</v>
      </c>
      <c r="E13" s="5">
        <v>0</v>
      </c>
      <c r="F13" s="5">
        <f>D13*1000/B13*12</f>
        <v>0</v>
      </c>
      <c r="G13" s="37">
        <f t="shared" si="4"/>
        <v>0</v>
      </c>
      <c r="H13" s="49">
        <f>+SUM($D$6:D14)*1000000/SUM($C$6:C14)</f>
        <v>0</v>
      </c>
      <c r="I13" s="49">
        <f>+H13/1000</f>
        <v>0</v>
      </c>
      <c r="J13" s="46">
        <f>+AVERAGE($D$6:D14)</f>
        <v>0</v>
      </c>
      <c r="K13" s="43" t="str">
        <f t="shared" si="2"/>
        <v>Sin eventos registrados</v>
      </c>
    </row>
    <row r="14" spans="1:18">
      <c r="A14" s="4">
        <v>45901</v>
      </c>
      <c r="B14" s="5">
        <v>7</v>
      </c>
      <c r="C14" s="5">
        <f t="shared" si="3"/>
        <v>1232</v>
      </c>
      <c r="D14" s="5">
        <v>0</v>
      </c>
      <c r="E14" s="5">
        <v>0</v>
      </c>
      <c r="F14" s="5">
        <f t="shared" si="0"/>
        <v>0</v>
      </c>
      <c r="G14" s="37">
        <f t="shared" si="4"/>
        <v>0</v>
      </c>
      <c r="H14" s="49">
        <f>+SUM($D$6:D15)*1000000/SUM($C$6:C15)</f>
        <v>0</v>
      </c>
      <c r="I14" s="49">
        <f t="shared" si="1"/>
        <v>0</v>
      </c>
      <c r="J14" s="46">
        <f>+AVERAGE($D$6:D15)</f>
        <v>0</v>
      </c>
      <c r="K14" s="43" t="str">
        <f t="shared" si="2"/>
        <v>Sin eventos registrados</v>
      </c>
    </row>
    <row r="15" spans="1:18">
      <c r="A15" s="4">
        <v>45931</v>
      </c>
      <c r="B15" s="5">
        <v>6</v>
      </c>
      <c r="C15" s="5">
        <f t="shared" si="3"/>
        <v>1056</v>
      </c>
      <c r="D15" s="5">
        <v>0</v>
      </c>
      <c r="E15" s="5">
        <v>0</v>
      </c>
      <c r="F15" s="5">
        <f t="shared" si="0"/>
        <v>0</v>
      </c>
      <c r="G15" s="37">
        <f t="shared" si="4"/>
        <v>0</v>
      </c>
      <c r="H15" s="49">
        <f>+SUM($D$6:D16)*1000000/SUM($C$6:C16)</f>
        <v>0</v>
      </c>
      <c r="I15" s="49">
        <f t="shared" si="1"/>
        <v>0</v>
      </c>
      <c r="J15" s="46">
        <f>+AVERAGE($D$6:D16)</f>
        <v>0</v>
      </c>
      <c r="K15" s="43" t="str">
        <f t="shared" si="2"/>
        <v>Sin eventos registrados</v>
      </c>
    </row>
    <row r="16" spans="1:18">
      <c r="A16" s="4">
        <v>45962</v>
      </c>
      <c r="B16" s="5">
        <v>6</v>
      </c>
      <c r="C16" s="5">
        <f t="shared" si="3"/>
        <v>1056</v>
      </c>
      <c r="D16" s="5">
        <v>0</v>
      </c>
      <c r="E16" s="5">
        <v>0</v>
      </c>
      <c r="F16" s="5">
        <f t="shared" si="0"/>
        <v>0</v>
      </c>
      <c r="G16" s="37">
        <f t="shared" si="4"/>
        <v>0</v>
      </c>
      <c r="H16" s="49">
        <f>+SUM($D$6:D17)*1000000/SUM($C$6:C17)</f>
        <v>0</v>
      </c>
      <c r="I16" s="49">
        <f t="shared" si="1"/>
        <v>0</v>
      </c>
      <c r="J16" s="46">
        <f>+AVERAGE($D$6:D17)</f>
        <v>0</v>
      </c>
      <c r="K16" s="43" t="str">
        <f t="shared" si="2"/>
        <v>Sin eventos registrados</v>
      </c>
    </row>
    <row r="17" spans="1:12">
      <c r="A17" s="4">
        <v>45992</v>
      </c>
      <c r="B17" s="5">
        <v>6</v>
      </c>
      <c r="C17" s="5">
        <f t="shared" si="3"/>
        <v>1056</v>
      </c>
      <c r="D17" s="5">
        <v>0</v>
      </c>
      <c r="E17" s="5">
        <v>0</v>
      </c>
      <c r="F17" s="5">
        <f t="shared" si="0"/>
        <v>0</v>
      </c>
      <c r="G17" s="37">
        <f t="shared" si="4"/>
        <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SUM(B6:B17)/12</f>
        <v>11.416666666666666</v>
      </c>
      <c r="C19" s="5">
        <f>SUM(C6:C17)</f>
        <v>25464</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CABFE-6AA8-4B54-A184-939CCFB44A6D}">
  <sheetPr>
    <tabColor theme="1"/>
    <pageSetUpPr fitToPage="1"/>
  </sheetPr>
  <dimension ref="A1:R59"/>
  <sheetViews>
    <sheetView topLeftCell="A7" workbookViewId="0">
      <selection activeCell="C15" sqref="C15:C16"/>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28515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5">
      <c r="A2" s="14" t="s">
        <v>342</v>
      </c>
      <c r="C2" s="9"/>
      <c r="F2" s="11"/>
      <c r="P2" s="1"/>
      <c r="Q2" s="9"/>
      <c r="R2" s="12"/>
    </row>
    <row r="3" spans="1:18" ht="21" customHeight="1">
      <c r="C3" s="9" t="s">
        <v>314</v>
      </c>
      <c r="H3" s="47" t="s">
        <v>315</v>
      </c>
      <c r="I3" s="47"/>
      <c r="K3" s="47" t="s">
        <v>315</v>
      </c>
    </row>
    <row r="4" spans="1:18" ht="58.5">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69</v>
      </c>
      <c r="C6" s="5">
        <f>B6*200</f>
        <v>13800</v>
      </c>
      <c r="D6" s="5">
        <v>0</v>
      </c>
      <c r="E6" s="5">
        <v>0</v>
      </c>
      <c r="F6" s="5">
        <f t="shared" ref="F6:F17" si="0">D6*1000/B6*12</f>
        <v>0</v>
      </c>
      <c r="G6" s="37">
        <f>D6*1000000/C6</f>
        <v>0</v>
      </c>
      <c r="H6" s="49">
        <f>+D7*1000000/C7</f>
        <v>0</v>
      </c>
      <c r="I6" s="49">
        <f>+H6/1000</f>
        <v>0</v>
      </c>
      <c r="J6" s="46">
        <f>+AVERAGE($D$6:D7)</f>
        <v>0</v>
      </c>
      <c r="K6" s="43" t="str">
        <f>+IF(J6=0,"Sin eventos registrados",30/J6)</f>
        <v>Sin eventos registrados</v>
      </c>
    </row>
    <row r="7" spans="1:18">
      <c r="A7" s="4">
        <v>45689</v>
      </c>
      <c r="B7" s="5">
        <v>69</v>
      </c>
      <c r="C7" s="5">
        <f>B7*200</f>
        <v>13800</v>
      </c>
      <c r="D7" s="5">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45717</v>
      </c>
      <c r="B8" s="5">
        <v>69</v>
      </c>
      <c r="C8" s="5">
        <f t="shared" ref="C8:C10" si="3">B8*200</f>
        <v>13800</v>
      </c>
      <c r="D8" s="5">
        <v>0</v>
      </c>
      <c r="E8" s="5">
        <v>0</v>
      </c>
      <c r="F8" s="5">
        <f t="shared" si="0"/>
        <v>0</v>
      </c>
      <c r="G8" s="37">
        <f>D8*1000000/C8</f>
        <v>0</v>
      </c>
      <c r="H8" s="49">
        <f>+SUM($D$6:D9)*1000000/SUM($C$6:C9)</f>
        <v>0</v>
      </c>
      <c r="I8" s="49">
        <f t="shared" si="1"/>
        <v>0</v>
      </c>
      <c r="J8" s="46">
        <f>+AVERAGE($D$6:D9)</f>
        <v>0</v>
      </c>
      <c r="K8" s="43" t="str">
        <f t="shared" si="2"/>
        <v>Sin eventos registrados</v>
      </c>
    </row>
    <row r="9" spans="1:18">
      <c r="A9" s="4">
        <v>45748</v>
      </c>
      <c r="B9" s="5">
        <v>69</v>
      </c>
      <c r="C9" s="5">
        <f t="shared" si="3"/>
        <v>13800</v>
      </c>
      <c r="D9" s="5">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45778</v>
      </c>
      <c r="B10" s="5">
        <v>69</v>
      </c>
      <c r="C10" s="5">
        <f t="shared" si="3"/>
        <v>13800</v>
      </c>
      <c r="D10" s="5">
        <v>0</v>
      </c>
      <c r="E10" s="5">
        <v>0</v>
      </c>
      <c r="F10" s="5">
        <f t="shared" si="0"/>
        <v>0</v>
      </c>
      <c r="G10" s="37">
        <f t="shared" ref="G10:G17" si="4">D10*1000000/C10</f>
        <v>0</v>
      </c>
      <c r="H10" s="49">
        <f>+SUM($D$6:D11)*1000000/SUM($C$6:C11)</f>
        <v>0</v>
      </c>
      <c r="I10" s="49">
        <f t="shared" si="1"/>
        <v>0</v>
      </c>
      <c r="J10" s="46">
        <f>+AVERAGE($D$6:D11)</f>
        <v>0</v>
      </c>
      <c r="K10" s="43" t="str">
        <f>+IF(J10=0,"Sin eventos registrados",30/J10)</f>
        <v>Sin eventos registrados</v>
      </c>
    </row>
    <row r="11" spans="1:18">
      <c r="A11" s="4">
        <v>45809</v>
      </c>
      <c r="B11" s="5">
        <v>57</v>
      </c>
      <c r="C11" s="5">
        <f>B11*200</f>
        <v>11400</v>
      </c>
      <c r="D11" s="5">
        <v>0</v>
      </c>
      <c r="E11" s="5">
        <v>0</v>
      </c>
      <c r="F11" s="5">
        <f t="shared" si="0"/>
        <v>0</v>
      </c>
      <c r="G11" s="37">
        <f>D11*1000000/C11</f>
        <v>0</v>
      </c>
      <c r="H11" s="49">
        <f>+SUM($D$6:D12)*1000000/SUM($C$6:C12)</f>
        <v>10.869565217391305</v>
      </c>
      <c r="I11" s="49">
        <f t="shared" si="1"/>
        <v>1.0869565217391304E-2</v>
      </c>
      <c r="J11" s="46">
        <f>+AVERAGE($D$6:D12)</f>
        <v>0.14285714285714285</v>
      </c>
      <c r="K11" s="43">
        <f t="shared" si="2"/>
        <v>210</v>
      </c>
    </row>
    <row r="12" spans="1:18">
      <c r="A12" s="4">
        <v>45839</v>
      </c>
      <c r="B12" s="5">
        <v>58</v>
      </c>
      <c r="C12" s="5">
        <f>B12*200</f>
        <v>11600</v>
      </c>
      <c r="D12" s="5">
        <v>1</v>
      </c>
      <c r="E12" s="5">
        <v>2</v>
      </c>
      <c r="F12" s="5">
        <f>D12*1000/B12</f>
        <v>17.241379310344829</v>
      </c>
      <c r="G12" s="37">
        <f>D12*1000000/C12</f>
        <v>86.206896551724142</v>
      </c>
      <c r="H12" s="49">
        <f>+SUM($D$6:D13)*1000000/SUM($C$6:C13)</f>
        <v>9.7087378640776691</v>
      </c>
      <c r="I12" s="49">
        <f t="shared" si="1"/>
        <v>9.7087378640776691E-3</v>
      </c>
      <c r="J12" s="46">
        <f>+AVERAGE($D$6:D13)</f>
        <v>0.125</v>
      </c>
      <c r="K12" s="43">
        <f t="shared" si="2"/>
        <v>240</v>
      </c>
    </row>
    <row r="13" spans="1:18">
      <c r="A13" s="4">
        <v>45870</v>
      </c>
      <c r="B13" s="5">
        <v>55</v>
      </c>
      <c r="C13" s="5">
        <f t="shared" ref="C13:C14" si="5">B13*200</f>
        <v>11000</v>
      </c>
      <c r="D13" s="5">
        <v>0</v>
      </c>
      <c r="E13" s="5">
        <v>0</v>
      </c>
      <c r="F13" s="5">
        <f>D13*1000/B13*12</f>
        <v>0</v>
      </c>
      <c r="G13" s="37">
        <f t="shared" si="4"/>
        <v>0</v>
      </c>
      <c r="H13" s="49">
        <f>+SUM($D$6:D14)*1000000/SUM($C$6:C14)</f>
        <v>8.7719298245614041</v>
      </c>
      <c r="I13" s="49">
        <f>+H13/1000</f>
        <v>8.7719298245614048E-3</v>
      </c>
      <c r="J13" s="46">
        <f>+AVERAGE($D$6:D14)</f>
        <v>0.1111111111111111</v>
      </c>
      <c r="K13" s="43">
        <f t="shared" si="2"/>
        <v>270</v>
      </c>
    </row>
    <row r="14" spans="1:18">
      <c r="A14" s="4">
        <v>45901</v>
      </c>
      <c r="B14" s="5">
        <v>55</v>
      </c>
      <c r="C14" s="5">
        <f t="shared" si="5"/>
        <v>11000</v>
      </c>
      <c r="D14" s="5">
        <v>0</v>
      </c>
      <c r="E14" s="5">
        <v>0</v>
      </c>
      <c r="F14" s="5">
        <f t="shared" si="0"/>
        <v>0</v>
      </c>
      <c r="G14" s="37">
        <f t="shared" si="4"/>
        <v>0</v>
      </c>
      <c r="H14" s="49">
        <f>+SUM($D$6:D15)*1000000/SUM($C$6:C15)</f>
        <v>8.0624355005159956</v>
      </c>
      <c r="I14" s="49">
        <f t="shared" si="1"/>
        <v>8.0624355005159947E-3</v>
      </c>
      <c r="J14" s="46">
        <f>+AVERAGE($D$6:D15)</f>
        <v>0.1</v>
      </c>
      <c r="K14" s="43">
        <f t="shared" si="2"/>
        <v>300</v>
      </c>
    </row>
    <row r="15" spans="1:18">
      <c r="A15" s="4">
        <v>45931</v>
      </c>
      <c r="B15" s="5">
        <v>57</v>
      </c>
      <c r="C15" s="5">
        <f t="shared" ref="C15:C25" si="6">B15*8*22</f>
        <v>10032</v>
      </c>
      <c r="D15" s="5">
        <v>0</v>
      </c>
      <c r="E15" s="5">
        <v>0</v>
      </c>
      <c r="F15" s="5">
        <f t="shared" si="0"/>
        <v>0</v>
      </c>
      <c r="G15" s="37">
        <f t="shared" si="4"/>
        <v>0</v>
      </c>
      <c r="H15" s="49">
        <f>+SUM($D$6:D16)*1000000/SUM($C$6:C16)</f>
        <v>7.362469077629874</v>
      </c>
      <c r="I15" s="49">
        <f t="shared" si="1"/>
        <v>7.3624690776298738E-3</v>
      </c>
      <c r="J15" s="46">
        <f>+AVERAGE($D$6:D16)</f>
        <v>9.0909090909090912E-2</v>
      </c>
      <c r="K15" s="43">
        <f t="shared" si="2"/>
        <v>330</v>
      </c>
    </row>
    <row r="16" spans="1:18">
      <c r="A16" s="4">
        <v>45962</v>
      </c>
      <c r="B16" s="5">
        <v>67</v>
      </c>
      <c r="C16" s="5">
        <f t="shared" si="6"/>
        <v>11792</v>
      </c>
      <c r="D16" s="5">
        <v>0</v>
      </c>
      <c r="E16" s="5">
        <v>0</v>
      </c>
      <c r="F16" s="5">
        <f t="shared" si="0"/>
        <v>0</v>
      </c>
      <c r="G16" s="37">
        <f t="shared" si="4"/>
        <v>0</v>
      </c>
      <c r="H16" s="49">
        <f>+SUM($D$6:D17)*1000000/SUM($C$6:C17)</f>
        <v>6.7743334055928894</v>
      </c>
      <c r="I16" s="49">
        <f t="shared" si="1"/>
        <v>6.7743334055928896E-3</v>
      </c>
      <c r="J16" s="46">
        <f>+AVERAGE($D$6:D17)</f>
        <v>8.3333333333333329E-2</v>
      </c>
      <c r="K16" s="43">
        <f t="shared" si="2"/>
        <v>360</v>
      </c>
    </row>
    <row r="17" spans="1:12">
      <c r="A17" s="4">
        <v>45992</v>
      </c>
      <c r="B17" s="5">
        <v>67</v>
      </c>
      <c r="C17" s="5">
        <f t="shared" si="6"/>
        <v>11792</v>
      </c>
      <c r="D17" s="5">
        <v>0</v>
      </c>
      <c r="E17" s="5">
        <v>0</v>
      </c>
      <c r="F17" s="5">
        <f t="shared" si="0"/>
        <v>0</v>
      </c>
      <c r="G17" s="37">
        <f t="shared" si="4"/>
        <v>0</v>
      </c>
      <c r="H17" s="49">
        <f>+SUM($D$6:D18)*1000000/SUM($C$6:C18)</f>
        <v>6.7743334055928894</v>
      </c>
      <c r="I17" s="49">
        <f t="shared" si="1"/>
        <v>6.7743334055928896E-3</v>
      </c>
      <c r="J17" s="46">
        <f>+AVERAGE($D$6:D18)</f>
        <v>8.3333333333333329E-2</v>
      </c>
      <c r="K17" s="43">
        <f t="shared" si="2"/>
        <v>360</v>
      </c>
    </row>
    <row r="18" spans="1:12">
      <c r="A18" s="4"/>
      <c r="B18" s="5"/>
      <c r="C18" s="5"/>
      <c r="D18" s="5"/>
      <c r="E18" s="5"/>
      <c r="F18" s="5"/>
    </row>
    <row r="19" spans="1:12">
      <c r="A19" s="3" t="s">
        <v>326</v>
      </c>
      <c r="B19" s="5">
        <f>SUM(B6:B17)/12</f>
        <v>63.416666666666664</v>
      </c>
      <c r="C19" s="5">
        <f>SUM(C6:C17)</f>
        <v>147616</v>
      </c>
      <c r="D19" s="5">
        <f>SUM(D6:D17)</f>
        <v>1</v>
      </c>
      <c r="E19" s="10">
        <f>SUM(E6:E17)</f>
        <v>2</v>
      </c>
      <c r="F19" s="5">
        <f>D19*1000/B19</f>
        <v>15.768725361366624</v>
      </c>
    </row>
    <row r="20" spans="1:12">
      <c r="A20" s="2"/>
    </row>
    <row r="21" spans="1:12">
      <c r="A21" s="2"/>
    </row>
    <row r="22" spans="1:12" ht="18" customHeight="1">
      <c r="A22" s="16" t="s">
        <v>327</v>
      </c>
      <c r="B22" s="6"/>
      <c r="C22" s="7" t="s">
        <v>328</v>
      </c>
      <c r="D22" s="18" t="s">
        <v>329</v>
      </c>
      <c r="E22" s="20">
        <f>D19*1000/B19</f>
        <v>15.768725361366624</v>
      </c>
      <c r="F22" s="215" t="s">
        <v>330</v>
      </c>
      <c r="H22" s="74"/>
      <c r="I22" s="74"/>
      <c r="J22" s="74"/>
      <c r="K22" s="74"/>
      <c r="L22" s="74"/>
    </row>
    <row r="23" spans="1:12" ht="20.25">
      <c r="A23" s="16"/>
      <c r="B23" s="6"/>
      <c r="C23" s="8" t="s">
        <v>331</v>
      </c>
      <c r="D23" s="18"/>
      <c r="E23" s="21"/>
      <c r="F23" s="215"/>
      <c r="H23" s="74"/>
      <c r="I23" s="74"/>
      <c r="J23" s="74"/>
      <c r="K23" s="74"/>
      <c r="L23" s="74"/>
    </row>
    <row r="24" spans="1:12" ht="20.25">
      <c r="A24" s="17"/>
      <c r="C24" s="2"/>
      <c r="D24" s="19"/>
      <c r="E24" s="22"/>
      <c r="F24" s="24"/>
      <c r="H24" s="74"/>
      <c r="I24" s="74"/>
      <c r="J24" s="74"/>
      <c r="K24" s="74"/>
      <c r="L24" s="74"/>
    </row>
    <row r="25" spans="1:12" ht="20.25" customHeight="1">
      <c r="A25" s="16" t="s">
        <v>332</v>
      </c>
      <c r="B25" s="6"/>
      <c r="C25" s="7" t="s">
        <v>333</v>
      </c>
      <c r="D25" s="18" t="s">
        <v>329</v>
      </c>
      <c r="E25" s="20">
        <f>D19*1000000/C19</f>
        <v>6.7743334055928894</v>
      </c>
      <c r="F25" s="215" t="s">
        <v>334</v>
      </c>
      <c r="H25" s="74"/>
      <c r="I25" s="74"/>
      <c r="J25" s="74"/>
      <c r="K25" s="74"/>
      <c r="L25" s="74"/>
    </row>
    <row r="26" spans="1:12" ht="20.25">
      <c r="A26" s="16"/>
      <c r="B26" s="6"/>
      <c r="C26" s="8" t="s">
        <v>335</v>
      </c>
      <c r="D26" s="18"/>
      <c r="E26" s="21"/>
      <c r="F26" s="215"/>
      <c r="H26" s="74"/>
      <c r="I26" s="74"/>
      <c r="J26" s="74"/>
      <c r="K26" s="74"/>
      <c r="L26" s="74"/>
    </row>
    <row r="27" spans="1:12" ht="20.25">
      <c r="A27" s="17"/>
      <c r="D27" s="19"/>
      <c r="E27" s="22"/>
      <c r="F27" s="24"/>
      <c r="H27" s="74"/>
      <c r="I27" s="74"/>
      <c r="J27" s="74"/>
      <c r="K27" s="74"/>
      <c r="L27" s="74"/>
    </row>
    <row r="28" spans="1:12" ht="20.25" customHeight="1">
      <c r="A28" s="16" t="s">
        <v>336</v>
      </c>
      <c r="B28" s="6"/>
      <c r="C28" s="7" t="s">
        <v>319</v>
      </c>
      <c r="D28" s="18" t="s">
        <v>329</v>
      </c>
      <c r="E28" s="23">
        <f>E19/B19</f>
        <v>3.153745072273325E-2</v>
      </c>
      <c r="F28" s="215" t="s">
        <v>337</v>
      </c>
      <c r="H28" s="74"/>
      <c r="I28" s="74"/>
      <c r="J28" s="74"/>
      <c r="K28" s="74"/>
      <c r="L28" s="74"/>
    </row>
    <row r="29" spans="1:12" ht="20.25">
      <c r="A29" s="16" t="s">
        <v>338</v>
      </c>
      <c r="B29" s="6"/>
      <c r="C29" s="8" t="s">
        <v>331</v>
      </c>
      <c r="D29" s="18"/>
      <c r="E29" s="21"/>
      <c r="F29" s="215"/>
      <c r="H29" s="74"/>
      <c r="I29" s="74"/>
      <c r="J29" s="74"/>
      <c r="K29" s="74"/>
      <c r="L29" s="74"/>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DDC0-459C-48EC-9B69-C0DECDC72BA6}">
  <sheetPr>
    <tabColor theme="1"/>
    <pageSetUpPr fitToPage="1"/>
  </sheetPr>
  <dimension ref="A1:R59"/>
  <sheetViews>
    <sheetView topLeftCell="C7" workbookViewId="0">
      <selection activeCell="D16" sqref="D16"/>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343</v>
      </c>
      <c r="C2" s="9"/>
      <c r="F2" s="11"/>
      <c r="P2" s="1"/>
      <c r="Q2" s="9"/>
      <c r="R2" s="12"/>
    </row>
    <row r="3" spans="1:18" ht="21" customHeight="1">
      <c r="C3" s="9" t="s">
        <v>314</v>
      </c>
      <c r="H3" s="47" t="s">
        <v>315</v>
      </c>
      <c r="I3" s="47"/>
      <c r="K3" s="47" t="s">
        <v>315</v>
      </c>
    </row>
    <row r="4" spans="1:18" ht="118.9">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20</v>
      </c>
      <c r="C6" s="41">
        <f>B6*200</f>
        <v>4000</v>
      </c>
      <c r="D6" s="203">
        <v>0</v>
      </c>
      <c r="E6" s="5">
        <v>0</v>
      </c>
      <c r="F6" s="38">
        <f>D6*1000/B6*12</f>
        <v>0</v>
      </c>
      <c r="G6" s="37">
        <f>D6*1000000/C6</f>
        <v>0</v>
      </c>
      <c r="H6" s="49">
        <f>+D7*1000000/C7</f>
        <v>0</v>
      </c>
      <c r="I6" s="49">
        <f>+H6/1000</f>
        <v>0</v>
      </c>
      <c r="J6" s="46">
        <f>+AVERAGE($D$6:D7)</f>
        <v>0</v>
      </c>
      <c r="K6" s="43" t="str">
        <f>+IF(J6=0,"Sin eventos registrados",30/J6)</f>
        <v>Sin eventos registrados</v>
      </c>
    </row>
    <row r="7" spans="1:18">
      <c r="A7" s="4">
        <v>45689</v>
      </c>
      <c r="B7" s="5">
        <v>20</v>
      </c>
      <c r="C7" s="41">
        <f t="shared" ref="C7:C12" si="0">B7*200</f>
        <v>4000</v>
      </c>
      <c r="D7" s="203">
        <v>0</v>
      </c>
      <c r="E7" s="5">
        <v>0</v>
      </c>
      <c r="F7" s="38">
        <f t="shared" ref="F7:F17" si="1">D7*1000/B7*12</f>
        <v>0</v>
      </c>
      <c r="G7" s="37">
        <f>D7*1000000/C7</f>
        <v>0</v>
      </c>
      <c r="H7" s="49">
        <f>+SUM($D$6:D8)*1000000/SUM($C$6:C8)</f>
        <v>0</v>
      </c>
      <c r="I7" s="49">
        <f t="shared" ref="I7:I17" si="2">+H7/1000</f>
        <v>0</v>
      </c>
      <c r="J7" s="46">
        <f>+AVERAGE($D$6:D8)</f>
        <v>0</v>
      </c>
      <c r="K7" s="43" t="str">
        <f t="shared" ref="K7:K17" si="3">+IF(J7=0,"Sin eventos registrados",30/J7)</f>
        <v>Sin eventos registrados</v>
      </c>
    </row>
    <row r="8" spans="1:18">
      <c r="A8" s="4">
        <v>45717</v>
      </c>
      <c r="B8" s="5">
        <v>20</v>
      </c>
      <c r="C8" s="41">
        <f t="shared" si="0"/>
        <v>4000</v>
      </c>
      <c r="D8" s="203">
        <v>0</v>
      </c>
      <c r="E8" s="5">
        <v>0</v>
      </c>
      <c r="F8" s="38">
        <f t="shared" si="1"/>
        <v>0</v>
      </c>
      <c r="G8" s="37">
        <f>D8*1000000/C8</f>
        <v>0</v>
      </c>
      <c r="H8" s="49">
        <f>+SUM($D$6:D9)*1000000/SUM($C$6:C9)</f>
        <v>0</v>
      </c>
      <c r="I8" s="49">
        <f t="shared" si="2"/>
        <v>0</v>
      </c>
      <c r="J8" s="46">
        <f>+AVERAGE($D$6:D9)</f>
        <v>0</v>
      </c>
      <c r="K8" s="43" t="str">
        <f t="shared" si="3"/>
        <v>Sin eventos registrados</v>
      </c>
    </row>
    <row r="9" spans="1:18">
      <c r="A9" s="4">
        <v>45748</v>
      </c>
      <c r="B9" s="5">
        <v>20</v>
      </c>
      <c r="C9" s="41">
        <f t="shared" si="0"/>
        <v>4000</v>
      </c>
      <c r="D9" s="203">
        <v>0</v>
      </c>
      <c r="E9" s="5">
        <v>0</v>
      </c>
      <c r="F9" s="38">
        <f t="shared" si="1"/>
        <v>0</v>
      </c>
      <c r="G9" s="37">
        <f>D9*1000000/C9</f>
        <v>0</v>
      </c>
      <c r="H9" s="49">
        <f>+SUM($D$6:D10)*1000000/SUM($C$6:C10)</f>
        <v>0</v>
      </c>
      <c r="I9" s="49">
        <f>+H9/1000</f>
        <v>0</v>
      </c>
      <c r="J9" s="46">
        <f>+AVERAGE($D$6:D10)</f>
        <v>0</v>
      </c>
      <c r="K9" s="43" t="str">
        <f>+IF(J9=0,"Sin eventos registrados",30/J9)</f>
        <v>Sin eventos registrados</v>
      </c>
    </row>
    <row r="10" spans="1:18">
      <c r="A10" s="4">
        <v>45778</v>
      </c>
      <c r="B10" s="5">
        <v>20</v>
      </c>
      <c r="C10" s="41">
        <f t="shared" si="0"/>
        <v>4000</v>
      </c>
      <c r="D10" s="203">
        <v>0</v>
      </c>
      <c r="E10" s="5">
        <v>0</v>
      </c>
      <c r="F10" s="38">
        <f>D10*1000/B10*12</f>
        <v>0</v>
      </c>
      <c r="G10" s="37">
        <f t="shared" ref="G10:G17" si="4">D10*1000000/C10</f>
        <v>0</v>
      </c>
      <c r="H10" s="49">
        <f>+SUM($D$6:D11)*1000000/SUM($C$6:C11)</f>
        <v>0</v>
      </c>
      <c r="I10" s="49">
        <f t="shared" si="2"/>
        <v>0</v>
      </c>
      <c r="J10" s="46">
        <f>+AVERAGE($D$6:D11)</f>
        <v>0</v>
      </c>
      <c r="K10" s="43" t="str">
        <f>+IF(J10=0,"Sin eventos registrados",30/J10)</f>
        <v>Sin eventos registrados</v>
      </c>
    </row>
    <row r="11" spans="1:18">
      <c r="A11" s="4">
        <v>45809</v>
      </c>
      <c r="B11" s="5">
        <v>21</v>
      </c>
      <c r="C11" s="41">
        <f>B11*200</f>
        <v>4200</v>
      </c>
      <c r="D11" s="203">
        <v>0</v>
      </c>
      <c r="E11" s="5">
        <v>0</v>
      </c>
      <c r="F11" s="38">
        <f>D11*1000/B11</f>
        <v>0</v>
      </c>
      <c r="G11" s="37">
        <f>D11*1000000/C11</f>
        <v>0</v>
      </c>
      <c r="H11" s="49">
        <f>+SUM($D$6:D12)*1000000/SUM($C$6:C12)</f>
        <v>0</v>
      </c>
      <c r="I11" s="49">
        <f t="shared" si="2"/>
        <v>0</v>
      </c>
      <c r="J11" s="46">
        <f>+AVERAGE($D$6:D12)</f>
        <v>0</v>
      </c>
      <c r="K11" s="43" t="str">
        <f t="shared" si="3"/>
        <v>Sin eventos registrados</v>
      </c>
    </row>
    <row r="12" spans="1:18">
      <c r="A12" s="4">
        <v>45839</v>
      </c>
      <c r="B12" s="5">
        <v>21</v>
      </c>
      <c r="C12" s="41">
        <f t="shared" si="0"/>
        <v>4200</v>
      </c>
      <c r="D12" s="203">
        <v>0</v>
      </c>
      <c r="E12" s="5">
        <v>0</v>
      </c>
      <c r="F12" s="38">
        <f>D12*1000/B12*12</f>
        <v>0</v>
      </c>
      <c r="G12" s="37">
        <f t="shared" si="4"/>
        <v>0</v>
      </c>
      <c r="H12" s="49">
        <f>+SUM($D$6:D13)*1000000/SUM($C$6:C13)</f>
        <v>0</v>
      </c>
      <c r="I12" s="49">
        <f t="shared" si="2"/>
        <v>0</v>
      </c>
      <c r="J12" s="46">
        <f>+AVERAGE($D$6:D13)</f>
        <v>0</v>
      </c>
      <c r="K12" s="43" t="str">
        <f t="shared" si="3"/>
        <v>Sin eventos registrados</v>
      </c>
    </row>
    <row r="13" spans="1:18">
      <c r="A13" s="4">
        <v>45870</v>
      </c>
      <c r="B13" s="5">
        <v>20</v>
      </c>
      <c r="C13" s="41">
        <f>B13*200</f>
        <v>4000</v>
      </c>
      <c r="D13" s="203">
        <v>0</v>
      </c>
      <c r="E13" s="5">
        <v>0</v>
      </c>
      <c r="F13" s="38">
        <f t="shared" si="1"/>
        <v>0</v>
      </c>
      <c r="G13" s="37">
        <f t="shared" si="4"/>
        <v>0</v>
      </c>
      <c r="H13" s="49">
        <f>+SUM($D$6:D14)*1000000/SUM($C$6:C14)</f>
        <v>0</v>
      </c>
      <c r="I13" s="49">
        <f>+H13/1000</f>
        <v>0</v>
      </c>
      <c r="J13" s="46">
        <f>+AVERAGE($D$6:D14)</f>
        <v>0</v>
      </c>
      <c r="K13" s="43" t="str">
        <f t="shared" si="3"/>
        <v>Sin eventos registrados</v>
      </c>
    </row>
    <row r="14" spans="1:18">
      <c r="A14" s="4">
        <v>45901</v>
      </c>
      <c r="B14" s="5">
        <v>19</v>
      </c>
      <c r="C14" s="41">
        <f t="shared" ref="C14:C17" si="5">B14*8*22</f>
        <v>3344</v>
      </c>
      <c r="D14" s="203">
        <v>0</v>
      </c>
      <c r="E14" s="5">
        <v>0</v>
      </c>
      <c r="F14" s="38">
        <f t="shared" si="1"/>
        <v>0</v>
      </c>
      <c r="G14" s="37">
        <f t="shared" si="4"/>
        <v>0</v>
      </c>
      <c r="H14" s="49">
        <f>+SUM($D$6:D15)*1000000/SUM($C$6:C15)</f>
        <v>0</v>
      </c>
      <c r="I14" s="49">
        <f t="shared" si="2"/>
        <v>0</v>
      </c>
      <c r="J14" s="46">
        <f>+AVERAGE($D$6:D15)</f>
        <v>0</v>
      </c>
      <c r="K14" s="43" t="str">
        <f t="shared" si="3"/>
        <v>Sin eventos registrados</v>
      </c>
    </row>
    <row r="15" spans="1:18">
      <c r="A15" s="4">
        <v>45931</v>
      </c>
      <c r="B15" s="5">
        <v>21</v>
      </c>
      <c r="C15" s="41">
        <f t="shared" si="5"/>
        <v>3696</v>
      </c>
      <c r="D15" s="203">
        <v>0</v>
      </c>
      <c r="E15" s="5">
        <v>0</v>
      </c>
      <c r="F15" s="38">
        <f t="shared" si="1"/>
        <v>0</v>
      </c>
      <c r="G15" s="37">
        <f t="shared" si="4"/>
        <v>0</v>
      </c>
      <c r="H15" s="49">
        <f>+SUM($D$6:D16)*1000000/SUM($C$6:C16)</f>
        <v>0</v>
      </c>
      <c r="I15" s="49">
        <f t="shared" si="2"/>
        <v>0</v>
      </c>
      <c r="J15" s="46">
        <f>+AVERAGE($D$6:D16)</f>
        <v>0</v>
      </c>
      <c r="K15" s="43" t="str">
        <f t="shared" si="3"/>
        <v>Sin eventos registrados</v>
      </c>
    </row>
    <row r="16" spans="1:18">
      <c r="A16" s="4">
        <v>45962</v>
      </c>
      <c r="B16" s="5">
        <v>21</v>
      </c>
      <c r="C16" s="41">
        <f t="shared" si="5"/>
        <v>3696</v>
      </c>
      <c r="D16" s="203">
        <v>0</v>
      </c>
      <c r="E16" s="5">
        <v>0</v>
      </c>
      <c r="F16" s="38">
        <f t="shared" si="1"/>
        <v>0</v>
      </c>
      <c r="G16" s="37">
        <f t="shared" si="4"/>
        <v>0</v>
      </c>
      <c r="H16" s="49">
        <f>+SUM($D$6:D17)*1000000/SUM($C$6:C17)</f>
        <v>0</v>
      </c>
      <c r="I16" s="49">
        <f t="shared" si="2"/>
        <v>0</v>
      </c>
      <c r="J16" s="46">
        <f>+AVERAGE($D$6:D17)</f>
        <v>0</v>
      </c>
      <c r="K16" s="43" t="str">
        <f t="shared" si="3"/>
        <v>Sin eventos registrados</v>
      </c>
    </row>
    <row r="17" spans="1:12">
      <c r="A17" s="4">
        <v>45992</v>
      </c>
      <c r="B17" s="5">
        <v>9</v>
      </c>
      <c r="C17" s="41">
        <f t="shared" si="5"/>
        <v>1584</v>
      </c>
      <c r="D17" s="203">
        <v>0</v>
      </c>
      <c r="E17" s="5">
        <v>0</v>
      </c>
      <c r="F17" s="38">
        <f t="shared" si="1"/>
        <v>0</v>
      </c>
      <c r="G17" s="37">
        <f t="shared" si="4"/>
        <v>0</v>
      </c>
      <c r="H17" s="49">
        <f>+SUM($D$6:D18)*1000000/SUM($C$6:C18)</f>
        <v>0</v>
      </c>
      <c r="I17" s="49">
        <f t="shared" si="2"/>
        <v>0</v>
      </c>
      <c r="J17" s="46">
        <f>+AVERAGE($D$6:D18)</f>
        <v>0</v>
      </c>
      <c r="K17" s="43" t="str">
        <f t="shared" si="3"/>
        <v>Sin eventos registrados</v>
      </c>
    </row>
    <row r="18" spans="1:12">
      <c r="A18" s="4"/>
      <c r="B18" s="5">
        <v>0</v>
      </c>
      <c r="C18" s="5"/>
      <c r="D18" s="5"/>
      <c r="E18" s="5"/>
      <c r="F18" s="38"/>
      <c r="G18" s="37"/>
    </row>
    <row r="19" spans="1:12">
      <c r="A19" s="3" t="s">
        <v>326</v>
      </c>
      <c r="B19" s="5">
        <f>SUM(B6:B17)/12</f>
        <v>19.333333333333332</v>
      </c>
      <c r="C19" s="5">
        <f>SUM(C6:C17)</f>
        <v>44720</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14B5-95F8-40A6-9A8D-B1F0A0C3C78E}">
  <sheetPr>
    <tabColor theme="1"/>
    <pageSetUpPr fitToPage="1"/>
  </sheetPr>
  <dimension ref="A1:R59"/>
  <sheetViews>
    <sheetView topLeftCell="A4" workbookViewId="0">
      <selection activeCell="C18" sqref="C18"/>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344</v>
      </c>
      <c r="C2" s="9"/>
      <c r="F2" s="11"/>
      <c r="P2" s="1"/>
      <c r="Q2" s="9"/>
      <c r="R2" s="12"/>
    </row>
    <row r="3" spans="1:18" ht="21" customHeight="1">
      <c r="C3" s="9" t="s">
        <v>314</v>
      </c>
      <c r="H3" s="47" t="s">
        <v>315</v>
      </c>
      <c r="I3" s="47"/>
      <c r="K3" s="47" t="s">
        <v>315</v>
      </c>
    </row>
    <row r="4" spans="1:18" ht="118.9">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23</v>
      </c>
      <c r="C6" s="5">
        <f>B6*200</f>
        <v>4600</v>
      </c>
      <c r="D6" s="203">
        <v>0</v>
      </c>
      <c r="E6" s="5">
        <v>0</v>
      </c>
      <c r="F6" s="5">
        <f t="shared" ref="F6:F9" si="0">D6*1000/B6*12</f>
        <v>0</v>
      </c>
      <c r="G6" s="37">
        <f>D6*1000000/C6</f>
        <v>0</v>
      </c>
      <c r="H6" s="49">
        <f>+D7*1000000/C7</f>
        <v>0</v>
      </c>
      <c r="I6" s="49">
        <f>+H6/1000</f>
        <v>0</v>
      </c>
      <c r="J6" s="46">
        <f>+AVERAGE($D$6:D7)</f>
        <v>0</v>
      </c>
      <c r="K6" s="43" t="str">
        <f>+IF(J6=0,"Sin eventos registrados",30/J6)</f>
        <v>Sin eventos registrados</v>
      </c>
    </row>
    <row r="7" spans="1:18">
      <c r="A7" s="4">
        <v>45689</v>
      </c>
      <c r="B7" s="5">
        <v>23</v>
      </c>
      <c r="C7" s="5">
        <f>B7*200</f>
        <v>4600</v>
      </c>
      <c r="D7" s="203">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45717</v>
      </c>
      <c r="B8" s="5">
        <v>27</v>
      </c>
      <c r="C8" s="5">
        <f>B8*200</f>
        <v>5400</v>
      </c>
      <c r="D8" s="203">
        <v>0</v>
      </c>
      <c r="E8" s="5">
        <v>0</v>
      </c>
      <c r="F8" s="5">
        <f t="shared" si="0"/>
        <v>0</v>
      </c>
      <c r="G8" s="37">
        <f>D8*1000000/C8</f>
        <v>0</v>
      </c>
      <c r="H8" s="49">
        <f>+SUM($D$6:D9)*1000000/SUM($C$6:C9)</f>
        <v>0</v>
      </c>
      <c r="I8" s="49">
        <f t="shared" si="1"/>
        <v>0</v>
      </c>
      <c r="J8" s="46">
        <f>+AVERAGE($D$6:D9)</f>
        <v>0</v>
      </c>
      <c r="K8" s="43" t="str">
        <f t="shared" si="2"/>
        <v>Sin eventos registrados</v>
      </c>
    </row>
    <row r="9" spans="1:18">
      <c r="A9" s="4">
        <v>45748</v>
      </c>
      <c r="B9" s="5">
        <v>27</v>
      </c>
      <c r="C9" s="5">
        <f t="shared" ref="C9:C10" si="3">B9*200</f>
        <v>5400</v>
      </c>
      <c r="D9" s="203">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45778</v>
      </c>
      <c r="B10" s="5">
        <v>27</v>
      </c>
      <c r="C10" s="5">
        <f t="shared" si="3"/>
        <v>5400</v>
      </c>
      <c r="D10" s="203">
        <v>0</v>
      </c>
      <c r="E10" s="5">
        <v>0</v>
      </c>
      <c r="F10" s="38">
        <f t="shared" ref="F10:F17" si="4">D10*1000/B10*12</f>
        <v>0</v>
      </c>
      <c r="G10" s="37">
        <f t="shared" ref="G10:G17" si="5">D10*1000000/C10</f>
        <v>0</v>
      </c>
      <c r="H10" s="49">
        <f>+SUM($D$6:D11)*1000000/SUM($C$6:C11)</f>
        <v>65.359477124183002</v>
      </c>
      <c r="I10" s="49">
        <f t="shared" si="1"/>
        <v>6.5359477124182996E-2</v>
      </c>
      <c r="J10" s="46">
        <f>+AVERAGE($D$6:D11)</f>
        <v>0.33333333333333331</v>
      </c>
      <c r="K10" s="43">
        <f>+IF(J10=0,"Sin eventos registrados",30/J10)</f>
        <v>90</v>
      </c>
    </row>
    <row r="11" spans="1:18">
      <c r="A11" s="4">
        <v>45809</v>
      </c>
      <c r="B11" s="5">
        <v>26</v>
      </c>
      <c r="C11" s="41">
        <f>B11*200</f>
        <v>5200</v>
      </c>
      <c r="D11" s="203">
        <v>2</v>
      </c>
      <c r="E11" s="5">
        <v>5</v>
      </c>
      <c r="F11" s="38">
        <f>D11*1000/B11</f>
        <v>76.92307692307692</v>
      </c>
      <c r="G11" s="37">
        <f>D11*1000000/C11</f>
        <v>384.61538461538464</v>
      </c>
      <c r="H11" s="49">
        <f>+SUM($D$6:D12)*1000000/SUM($C$6:C12)</f>
        <v>56.81818181818182</v>
      </c>
      <c r="I11" s="49">
        <f t="shared" si="1"/>
        <v>5.6818181818181823E-2</v>
      </c>
      <c r="J11" s="46">
        <f>+AVERAGE($D$6:D12)</f>
        <v>0.2857142857142857</v>
      </c>
      <c r="K11" s="43">
        <f t="shared" si="2"/>
        <v>105</v>
      </c>
    </row>
    <row r="12" spans="1:18">
      <c r="A12" s="4">
        <v>45839</v>
      </c>
      <c r="B12" s="5">
        <v>23</v>
      </c>
      <c r="C12" s="41">
        <f>B12*200</f>
        <v>4600</v>
      </c>
      <c r="D12" s="203">
        <v>0</v>
      </c>
      <c r="E12" s="5">
        <v>0</v>
      </c>
      <c r="F12" s="38">
        <f>D12*1000/B12*12</f>
        <v>0</v>
      </c>
      <c r="G12" s="37">
        <f t="shared" si="5"/>
        <v>0</v>
      </c>
      <c r="H12" s="49">
        <f>+SUM($D$6:D13)*1000000/SUM($C$6:C13)</f>
        <v>49.75124378109453</v>
      </c>
      <c r="I12" s="49">
        <f t="shared" si="1"/>
        <v>4.975124378109453E-2</v>
      </c>
      <c r="J12" s="46">
        <f>+AVERAGE($D$6:D13)</f>
        <v>0.25</v>
      </c>
      <c r="K12" s="43">
        <f t="shared" si="2"/>
        <v>120</v>
      </c>
    </row>
    <row r="13" spans="1:18">
      <c r="A13" s="4">
        <v>45870</v>
      </c>
      <c r="B13" s="5">
        <v>25</v>
      </c>
      <c r="C13" s="41">
        <f t="shared" ref="C13:C15" si="6">B13*200</f>
        <v>5000</v>
      </c>
      <c r="D13" s="203">
        <v>0</v>
      </c>
      <c r="E13" s="5">
        <v>0</v>
      </c>
      <c r="F13" s="38">
        <f t="shared" si="4"/>
        <v>0</v>
      </c>
      <c r="G13" s="37">
        <f t="shared" si="5"/>
        <v>0</v>
      </c>
      <c r="H13" s="49">
        <f>+SUM($D$6:D14)*1000000/SUM($C$6:C14)</f>
        <v>44.052863436123346</v>
      </c>
      <c r="I13" s="49">
        <f>+H13/1000</f>
        <v>4.4052863436123343E-2</v>
      </c>
      <c r="J13" s="46">
        <f>+AVERAGE($D$6:D14)</f>
        <v>0.22222222222222221</v>
      </c>
      <c r="K13" s="43">
        <f t="shared" si="2"/>
        <v>135</v>
      </c>
    </row>
    <row r="14" spans="1:18">
      <c r="A14" s="4">
        <v>45901</v>
      </c>
      <c r="B14" s="5">
        <v>26</v>
      </c>
      <c r="C14" s="41">
        <f t="shared" si="6"/>
        <v>5200</v>
      </c>
      <c r="D14" s="203">
        <v>0</v>
      </c>
      <c r="E14" s="5">
        <v>0</v>
      </c>
      <c r="F14" s="38">
        <f t="shared" si="4"/>
        <v>0</v>
      </c>
      <c r="G14" s="37">
        <f t="shared" si="5"/>
        <v>0</v>
      </c>
      <c r="H14" s="49">
        <f>+SUM($D$6:D15)*1000000/SUM($C$6:C15)</f>
        <v>39.370078740157481</v>
      </c>
      <c r="I14" s="49">
        <f t="shared" si="1"/>
        <v>3.937007874015748E-2</v>
      </c>
      <c r="J14" s="46">
        <f>+AVERAGE($D$6:D15)</f>
        <v>0.2</v>
      </c>
      <c r="K14" s="43">
        <f t="shared" si="2"/>
        <v>150</v>
      </c>
    </row>
    <row r="15" spans="1:18">
      <c r="A15" s="4">
        <v>45931</v>
      </c>
      <c r="B15" s="5">
        <v>27</v>
      </c>
      <c r="C15" s="41">
        <f t="shared" si="6"/>
        <v>5400</v>
      </c>
      <c r="D15" s="203">
        <v>0</v>
      </c>
      <c r="E15" s="5">
        <v>0</v>
      </c>
      <c r="F15" s="38">
        <f t="shared" si="4"/>
        <v>0</v>
      </c>
      <c r="G15" s="37">
        <f t="shared" si="5"/>
        <v>0</v>
      </c>
      <c r="H15" s="49">
        <f>+SUM($D$6:D16)*1000000/SUM($C$6:C16)</f>
        <v>36.002304147465438</v>
      </c>
      <c r="I15" s="49">
        <f t="shared" si="1"/>
        <v>3.6002304147465435E-2</v>
      </c>
      <c r="J15" s="46">
        <f>+AVERAGE($D$6:D16)</f>
        <v>0.18181818181818182</v>
      </c>
      <c r="K15" s="43">
        <f t="shared" si="2"/>
        <v>165</v>
      </c>
    </row>
    <row r="16" spans="1:18">
      <c r="A16" s="4">
        <v>45962</v>
      </c>
      <c r="B16" s="5">
        <v>27</v>
      </c>
      <c r="C16" s="41">
        <f t="shared" ref="C14:C17" si="7">B16*8*22</f>
        <v>4752</v>
      </c>
      <c r="D16" s="203">
        <v>0</v>
      </c>
      <c r="E16" s="5">
        <v>0</v>
      </c>
      <c r="F16" s="38">
        <f t="shared" si="4"/>
        <v>0</v>
      </c>
      <c r="G16" s="37">
        <f t="shared" si="5"/>
        <v>0</v>
      </c>
      <c r="H16" s="49">
        <f>+SUM($D$6:D17)*1000000/SUM($C$6:C17)</f>
        <v>34.896705750977105</v>
      </c>
      <c r="I16" s="49">
        <f t="shared" si="1"/>
        <v>3.4896705750977107E-2</v>
      </c>
      <c r="J16" s="46">
        <f>+AVERAGE($D$6:D17)</f>
        <v>0.16666666666666666</v>
      </c>
      <c r="K16" s="43">
        <f t="shared" si="2"/>
        <v>180</v>
      </c>
    </row>
    <row r="17" spans="1:12">
      <c r="A17" s="4">
        <v>45992</v>
      </c>
      <c r="B17" s="5">
        <v>10</v>
      </c>
      <c r="C17" s="41">
        <f>B17*8*22</f>
        <v>1760</v>
      </c>
      <c r="D17" s="203">
        <v>0</v>
      </c>
      <c r="E17" s="5">
        <v>0</v>
      </c>
      <c r="F17" s="38">
        <f t="shared" si="4"/>
        <v>0</v>
      </c>
      <c r="G17" s="37">
        <f t="shared" si="5"/>
        <v>0</v>
      </c>
      <c r="H17" s="49">
        <f>+SUM($D$6:D18)*1000000/SUM($C$6:C18)</f>
        <v>34.896705750977105</v>
      </c>
      <c r="I17" s="49">
        <f t="shared" si="1"/>
        <v>3.4896705750977107E-2</v>
      </c>
      <c r="J17" s="46">
        <f>+AVERAGE($D$6:D18)</f>
        <v>0.16666666666666666</v>
      </c>
      <c r="K17" s="43">
        <f t="shared" si="2"/>
        <v>180</v>
      </c>
    </row>
    <row r="18" spans="1:12">
      <c r="A18" s="4"/>
      <c r="B18" s="5">
        <v>0</v>
      </c>
      <c r="C18" s="5"/>
      <c r="D18" s="5"/>
      <c r="E18" s="5"/>
      <c r="F18" s="38"/>
      <c r="G18" s="37"/>
    </row>
    <row r="19" spans="1:12">
      <c r="A19" s="3" t="s">
        <v>326</v>
      </c>
      <c r="B19" s="5">
        <f>SUM(B6:B17)/12</f>
        <v>24.25</v>
      </c>
      <c r="C19" s="5">
        <f>SUM(C6:C17)</f>
        <v>57312</v>
      </c>
      <c r="D19" s="5">
        <f>SUM(D6:D17)</f>
        <v>2</v>
      </c>
      <c r="E19" s="10">
        <f>SUM(E6:E17)</f>
        <v>5</v>
      </c>
      <c r="F19" s="38">
        <f>D19*1000/B19</f>
        <v>82.474226804123717</v>
      </c>
      <c r="G19" s="37"/>
    </row>
    <row r="20" spans="1:12">
      <c r="A20" s="2"/>
    </row>
    <row r="21" spans="1:12">
      <c r="A21" s="2"/>
      <c r="I21" s="74"/>
      <c r="J21" s="74"/>
      <c r="K21" s="74"/>
    </row>
    <row r="22" spans="1:12" ht="18" customHeight="1">
      <c r="A22" s="16" t="s">
        <v>327</v>
      </c>
      <c r="B22" s="6"/>
      <c r="C22" s="7" t="s">
        <v>328</v>
      </c>
      <c r="D22" s="18" t="s">
        <v>329</v>
      </c>
      <c r="E22" s="20">
        <f>D19*1000/B19</f>
        <v>82.474226804123717</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34.896705750977105</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0.20618556701030927</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07AD-61DA-42CD-9EFF-B8229D74B6CA}">
  <sheetPr>
    <tabColor theme="1"/>
    <pageSetUpPr fitToPage="1"/>
  </sheetPr>
  <dimension ref="A1:R59"/>
  <sheetViews>
    <sheetView showGridLines="0" topLeftCell="A6" workbookViewId="0">
      <selection activeCell="C15" sqref="C15"/>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9.140625"/>
    <col min="8" max="8" width="34.5703125" customWidth="1"/>
    <col min="9" max="9" width="21.42578125" customWidth="1"/>
    <col min="10" max="10" width="30.28515625" customWidth="1"/>
    <col min="11" max="11" width="36.42578125" customWidth="1"/>
    <col min="12" max="15" width="9.140625"/>
    <col min="16" max="16" width="21.7109375" customWidth="1"/>
    <col min="17" max="17" width="24.7109375" customWidth="1"/>
  </cols>
  <sheetData>
    <row r="1" spans="1:18" ht="42" customHeight="1">
      <c r="A1" s="13"/>
      <c r="C1" s="25" t="s">
        <v>312</v>
      </c>
      <c r="F1" s="15">
        <v>2025</v>
      </c>
      <c r="P1" s="1"/>
      <c r="Q1" s="9" t="s">
        <v>345</v>
      </c>
      <c r="R1" s="12">
        <v>39083</v>
      </c>
    </row>
    <row r="2" spans="1:18" ht="22.15">
      <c r="A2" s="14" t="s">
        <v>346</v>
      </c>
      <c r="C2" s="9"/>
      <c r="F2" s="11"/>
      <c r="P2" s="1"/>
      <c r="Q2" s="9"/>
      <c r="R2" s="12"/>
    </row>
    <row r="3" spans="1:18" ht="21" customHeight="1">
      <c r="C3" s="9" t="s">
        <v>314</v>
      </c>
      <c r="H3" s="47" t="s">
        <v>315</v>
      </c>
      <c r="I3" s="47"/>
      <c r="K3" s="47" t="s">
        <v>315</v>
      </c>
    </row>
    <row r="4" spans="1:18" ht="39.6">
      <c r="A4" s="3" t="s">
        <v>316</v>
      </c>
      <c r="B4" s="3" t="s">
        <v>317</v>
      </c>
      <c r="C4" s="3" t="s">
        <v>318</v>
      </c>
      <c r="D4" s="3" t="s">
        <v>41</v>
      </c>
      <c r="E4" s="3" t="s">
        <v>319</v>
      </c>
      <c r="F4" s="3" t="s">
        <v>320</v>
      </c>
      <c r="G4" s="37" t="s">
        <v>321</v>
      </c>
      <c r="H4" s="50" t="s">
        <v>322</v>
      </c>
      <c r="I4" s="48" t="s">
        <v>323</v>
      </c>
      <c r="J4" s="45" t="s">
        <v>324</v>
      </c>
      <c r="K4" s="51" t="s">
        <v>325</v>
      </c>
    </row>
    <row r="5" spans="1:18" ht="35.25" customHeight="1">
      <c r="A5" s="2"/>
      <c r="B5" s="2"/>
      <c r="C5" s="2"/>
      <c r="D5" s="2"/>
      <c r="E5" s="2"/>
      <c r="H5" s="47"/>
      <c r="I5" s="47"/>
      <c r="J5" s="42"/>
      <c r="K5" s="42"/>
    </row>
    <row r="6" spans="1:18" ht="13.15">
      <c r="A6" s="4">
        <v>45658</v>
      </c>
      <c r="B6" s="5">
        <v>0</v>
      </c>
      <c r="C6" s="5">
        <v>0</v>
      </c>
      <c r="D6" s="5">
        <v>0</v>
      </c>
      <c r="E6" s="5">
        <v>0</v>
      </c>
      <c r="F6" s="26" t="e">
        <f>D6*1000/B6*12</f>
        <v>#DIV/0!</v>
      </c>
      <c r="G6" s="37" t="e">
        <f t="shared" ref="G6:G17" si="0">D6*1000000/C6</f>
        <v>#DIV/0!</v>
      </c>
      <c r="H6" s="49" t="e">
        <f>+D7*1000000/C7</f>
        <v>#DIV/0!</v>
      </c>
      <c r="I6" s="49" t="e">
        <f>+H6/1000</f>
        <v>#DIV/0!</v>
      </c>
      <c r="J6" s="46">
        <f>+AVERAGE($D$6:D7)</f>
        <v>0</v>
      </c>
      <c r="K6" s="43" t="str">
        <f>+IF(J6=0,"Sin eventos registrados",30/J6)</f>
        <v>Sin eventos registrados</v>
      </c>
    </row>
    <row r="7" spans="1:18" ht="13.15">
      <c r="A7" s="4">
        <v>45689</v>
      </c>
      <c r="B7" s="5">
        <v>0</v>
      </c>
      <c r="C7" s="5">
        <v>0</v>
      </c>
      <c r="D7" s="5">
        <v>0</v>
      </c>
      <c r="E7" s="5">
        <v>0</v>
      </c>
      <c r="F7" s="26" t="e">
        <f>D7*1000/B7*12</f>
        <v>#DIV/0!</v>
      </c>
      <c r="G7" s="37" t="e">
        <f t="shared" si="0"/>
        <v>#DIV/0!</v>
      </c>
      <c r="H7" s="49" t="e">
        <f>+SUM($D$6:D8)*1000000/SUM($C$6:C8)</f>
        <v>#DIV/0!</v>
      </c>
      <c r="I7" s="49" t="e">
        <f t="shared" ref="I7:I17" si="1">+H7/1000</f>
        <v>#DIV/0!</v>
      </c>
      <c r="J7" s="46">
        <f>+AVERAGE($D$6:D8)</f>
        <v>0</v>
      </c>
      <c r="K7" s="43" t="str">
        <f t="shared" ref="K7:K17" si="2">+IF(J7=0,"Sin eventos registrados",30/J7)</f>
        <v>Sin eventos registrados</v>
      </c>
    </row>
    <row r="8" spans="1:18" ht="13.15">
      <c r="A8" s="4">
        <v>45717</v>
      </c>
      <c r="B8" s="5">
        <v>0</v>
      </c>
      <c r="C8" s="5">
        <v>0</v>
      </c>
      <c r="D8" s="5">
        <v>0</v>
      </c>
      <c r="E8" s="5">
        <v>0</v>
      </c>
      <c r="F8" s="26" t="e">
        <f>D8*1000/B8*12</f>
        <v>#DIV/0!</v>
      </c>
      <c r="G8" s="37" t="e">
        <f t="shared" si="0"/>
        <v>#DIV/0!</v>
      </c>
      <c r="H8" s="49">
        <f>+SUM($D$6:D9)*1000000/SUM($C$6:C9)</f>
        <v>0</v>
      </c>
      <c r="I8" s="49">
        <f t="shared" si="1"/>
        <v>0</v>
      </c>
      <c r="J8" s="46">
        <f>+AVERAGE($D$6:D9)</f>
        <v>0</v>
      </c>
      <c r="K8" s="43" t="str">
        <f t="shared" si="2"/>
        <v>Sin eventos registrados</v>
      </c>
    </row>
    <row r="9" spans="1:18" ht="13.15">
      <c r="A9" s="4">
        <v>45748</v>
      </c>
      <c r="B9" s="5">
        <v>24</v>
      </c>
      <c r="C9" s="5">
        <f>B9*200</f>
        <v>4800</v>
      </c>
      <c r="D9" s="5">
        <v>0</v>
      </c>
      <c r="E9" s="5">
        <v>0</v>
      </c>
      <c r="F9" s="26">
        <f>D9*1000/B9*12</f>
        <v>0</v>
      </c>
      <c r="G9" s="37">
        <f t="shared" si="0"/>
        <v>0</v>
      </c>
      <c r="H9" s="49">
        <f>+SUM($D$6:D10)*1000000/SUM($C$6:C10)</f>
        <v>0</v>
      </c>
      <c r="I9" s="49">
        <f>+H9/1000</f>
        <v>0</v>
      </c>
      <c r="J9" s="46">
        <f>+AVERAGE($D$6:D10)</f>
        <v>0</v>
      </c>
      <c r="K9" s="43" t="str">
        <f>+IF(J9=0,"Sin eventos registrados",30/J9)</f>
        <v>Sin eventos registrados</v>
      </c>
    </row>
    <row r="10" spans="1:18" ht="13.15">
      <c r="A10" s="4">
        <v>45778</v>
      </c>
      <c r="B10" s="5">
        <v>24</v>
      </c>
      <c r="C10" s="5">
        <f t="shared" ref="C10:C13" si="3">B10*200</f>
        <v>4800</v>
      </c>
      <c r="D10" s="5">
        <v>0</v>
      </c>
      <c r="E10" s="5">
        <v>0</v>
      </c>
      <c r="F10" s="26">
        <f>D10*1000/B10*12</f>
        <v>0</v>
      </c>
      <c r="G10" s="37">
        <f t="shared" si="0"/>
        <v>0</v>
      </c>
      <c r="H10" s="49">
        <f>+SUM($D$6:D11)*1000000/SUM($C$6:C11)</f>
        <v>0</v>
      </c>
      <c r="I10" s="49">
        <f t="shared" si="1"/>
        <v>0</v>
      </c>
      <c r="J10" s="46">
        <f>+AVERAGE($D$6:D11)</f>
        <v>0</v>
      </c>
      <c r="K10" s="43" t="str">
        <f>+IF(J10=0,"Sin eventos registrados",30/J10)</f>
        <v>Sin eventos registrados</v>
      </c>
    </row>
    <row r="11" spans="1:18" ht="13.15">
      <c r="A11" s="4">
        <v>45809</v>
      </c>
      <c r="B11" s="5">
        <v>27</v>
      </c>
      <c r="C11" s="5">
        <f t="shared" si="3"/>
        <v>5400</v>
      </c>
      <c r="D11" s="5">
        <v>0</v>
      </c>
      <c r="E11" s="5">
        <v>0</v>
      </c>
      <c r="F11" s="26">
        <f>D11*1000/B11</f>
        <v>0</v>
      </c>
      <c r="G11" s="37">
        <f t="shared" si="0"/>
        <v>0</v>
      </c>
      <c r="H11" s="49">
        <f>+SUM($D$6:D12)*1000000/SUM($C$6:C12)</f>
        <v>0</v>
      </c>
      <c r="I11" s="49">
        <f t="shared" si="1"/>
        <v>0</v>
      </c>
      <c r="J11" s="46">
        <f>+AVERAGE($D$6:D12)</f>
        <v>0</v>
      </c>
      <c r="K11" s="43" t="str">
        <f t="shared" si="2"/>
        <v>Sin eventos registrados</v>
      </c>
    </row>
    <row r="12" spans="1:18" ht="13.15">
      <c r="A12" s="4">
        <v>45839</v>
      </c>
      <c r="B12" s="5">
        <v>29</v>
      </c>
      <c r="C12" s="5">
        <f t="shared" si="3"/>
        <v>5800</v>
      </c>
      <c r="D12" s="5">
        <v>0</v>
      </c>
      <c r="E12" s="5">
        <v>0</v>
      </c>
      <c r="F12" s="26">
        <f t="shared" ref="F12:F17" si="4">D12*1000/B12*12</f>
        <v>0</v>
      </c>
      <c r="G12" s="37">
        <f t="shared" si="0"/>
        <v>0</v>
      </c>
      <c r="H12" s="49">
        <f>+SUM($D$6:D13)*1000000/SUM($C$6:C13)</f>
        <v>0</v>
      </c>
      <c r="I12" s="49">
        <f t="shared" si="1"/>
        <v>0</v>
      </c>
      <c r="J12" s="46">
        <f>+AVERAGE($D$6:D13)</f>
        <v>0</v>
      </c>
      <c r="K12" s="43" t="str">
        <f t="shared" si="2"/>
        <v>Sin eventos registrados</v>
      </c>
    </row>
    <row r="13" spans="1:18" ht="13.15">
      <c r="A13" s="4">
        <v>45870</v>
      </c>
      <c r="B13" s="5">
        <v>35</v>
      </c>
      <c r="C13" s="5">
        <f t="shared" si="3"/>
        <v>7000</v>
      </c>
      <c r="D13" s="5">
        <v>0</v>
      </c>
      <c r="E13" s="5">
        <v>0</v>
      </c>
      <c r="F13" s="26">
        <f t="shared" si="4"/>
        <v>0</v>
      </c>
      <c r="G13" s="37">
        <f t="shared" si="0"/>
        <v>0</v>
      </c>
      <c r="H13" s="49">
        <f>+SUM($D$6:D14)*1000000/SUM($C$6:C14)</f>
        <v>0</v>
      </c>
      <c r="I13" s="49">
        <f>+H13/1000</f>
        <v>0</v>
      </c>
      <c r="J13" s="46">
        <f>+AVERAGE($D$6:D14)</f>
        <v>0</v>
      </c>
      <c r="K13" s="43" t="str">
        <f t="shared" si="2"/>
        <v>Sin eventos registrados</v>
      </c>
    </row>
    <row r="14" spans="1:18" ht="13.15">
      <c r="A14" s="4">
        <v>45901</v>
      </c>
      <c r="B14" s="5">
        <v>38</v>
      </c>
      <c r="C14" s="5">
        <f t="shared" ref="C14:C17" si="5">B14*200</f>
        <v>7600</v>
      </c>
      <c r="D14" s="5">
        <v>0</v>
      </c>
      <c r="E14" s="5">
        <v>0</v>
      </c>
      <c r="F14" s="26">
        <f t="shared" si="4"/>
        <v>0</v>
      </c>
      <c r="G14" s="37">
        <f t="shared" si="0"/>
        <v>0</v>
      </c>
      <c r="H14" s="49">
        <f>+SUM($D$6:D15)*1000000/SUM($C$6:C15)</f>
        <v>0</v>
      </c>
      <c r="I14" s="49">
        <f t="shared" si="1"/>
        <v>0</v>
      </c>
      <c r="J14" s="46">
        <f>+AVERAGE($D$6:D15)</f>
        <v>0</v>
      </c>
      <c r="K14" s="43" t="str">
        <f t="shared" si="2"/>
        <v>Sin eventos registrados</v>
      </c>
    </row>
    <row r="15" spans="1:18" ht="13.15">
      <c r="A15" s="4">
        <v>45931</v>
      </c>
      <c r="B15" s="5">
        <v>42</v>
      </c>
      <c r="C15" s="5">
        <f t="shared" si="5"/>
        <v>8400</v>
      </c>
      <c r="D15" s="5">
        <v>0</v>
      </c>
      <c r="E15" s="5">
        <v>0</v>
      </c>
      <c r="F15" s="26">
        <f t="shared" si="4"/>
        <v>0</v>
      </c>
      <c r="G15" s="37">
        <f t="shared" si="0"/>
        <v>0</v>
      </c>
      <c r="H15" s="49">
        <f>+SUM($D$6:D16)*1000000/SUM($C$6:C16)</f>
        <v>19.157088122605366</v>
      </c>
      <c r="I15" s="49">
        <f t="shared" si="1"/>
        <v>1.9157088122605366E-2</v>
      </c>
      <c r="J15" s="46">
        <f>+AVERAGE($D$6:D16)</f>
        <v>9.0909090909090912E-2</v>
      </c>
      <c r="K15" s="43">
        <f t="shared" si="2"/>
        <v>330</v>
      </c>
    </row>
    <row r="16" spans="1:18" ht="13.15">
      <c r="A16" s="4">
        <v>45962</v>
      </c>
      <c r="B16" s="5">
        <v>42</v>
      </c>
      <c r="C16" s="5">
        <f t="shared" si="5"/>
        <v>8400</v>
      </c>
      <c r="D16" s="5">
        <v>1</v>
      </c>
      <c r="E16" s="5">
        <v>2</v>
      </c>
      <c r="F16" s="26">
        <f t="shared" si="4"/>
        <v>285.71428571428572</v>
      </c>
      <c r="G16" s="37">
        <f>D16*1000000/C16</f>
        <v>119.04761904761905</v>
      </c>
      <c r="H16" s="49">
        <f>+SUM($D$6:D17)*1000000/SUM($C$6:C17)</f>
        <v>16.556291390728475</v>
      </c>
      <c r="I16" s="49">
        <f t="shared" si="1"/>
        <v>1.6556291390728475E-2</v>
      </c>
      <c r="J16" s="46">
        <f>+AVERAGE($D$6:D17)</f>
        <v>8.3333333333333329E-2</v>
      </c>
      <c r="K16" s="43">
        <f t="shared" si="2"/>
        <v>360</v>
      </c>
    </row>
    <row r="17" spans="1:12" ht="13.15">
      <c r="A17" s="4">
        <v>45992</v>
      </c>
      <c r="B17" s="5">
        <v>41</v>
      </c>
      <c r="C17" s="5">
        <f t="shared" si="5"/>
        <v>8200</v>
      </c>
      <c r="D17" s="5">
        <v>0</v>
      </c>
      <c r="E17" s="5">
        <v>0</v>
      </c>
      <c r="F17" s="26">
        <f t="shared" si="4"/>
        <v>0</v>
      </c>
      <c r="G17" s="37">
        <f t="shared" si="0"/>
        <v>0</v>
      </c>
      <c r="H17" s="49">
        <f>+SUM($D$6:D18)*1000000/SUM($C$6:C18)</f>
        <v>16.556291390728475</v>
      </c>
      <c r="I17" s="49">
        <f t="shared" si="1"/>
        <v>1.6556291390728475E-2</v>
      </c>
      <c r="J17" s="46">
        <f>+AVERAGE($D$6:D18)</f>
        <v>8.3333333333333329E-2</v>
      </c>
      <c r="K17" s="43">
        <f t="shared" si="2"/>
        <v>360</v>
      </c>
    </row>
    <row r="18" spans="1:12" ht="13.15">
      <c r="A18" s="4"/>
      <c r="B18" s="5"/>
      <c r="C18" s="5"/>
      <c r="D18" s="5"/>
      <c r="E18" s="5"/>
      <c r="F18" s="5"/>
    </row>
    <row r="19" spans="1:12" ht="13.15">
      <c r="A19" s="3" t="s">
        <v>326</v>
      </c>
      <c r="B19" s="5">
        <f>SUM(B6:B17)/12</f>
        <v>25.166666666666668</v>
      </c>
      <c r="C19" s="5">
        <f>SUM(C6:C17)</f>
        <v>60400</v>
      </c>
      <c r="D19" s="5">
        <f>SUM(D6:D17)</f>
        <v>1</v>
      </c>
      <c r="E19" s="10">
        <f>SUM(E6:E17)</f>
        <v>2</v>
      </c>
      <c r="F19" s="5">
        <f>D19*1000/B19</f>
        <v>39.735099337748345</v>
      </c>
    </row>
    <row r="20" spans="1:12" ht="13.15">
      <c r="A20" s="2"/>
    </row>
    <row r="21" spans="1:12" ht="13.15">
      <c r="A21" s="2"/>
      <c r="H21" s="74"/>
      <c r="I21" s="74"/>
      <c r="J21" s="75"/>
      <c r="K21" s="75"/>
      <c r="L21" s="75"/>
    </row>
    <row r="22" spans="1:12" ht="18" customHeight="1">
      <c r="A22" s="16" t="s">
        <v>327</v>
      </c>
      <c r="B22" s="6"/>
      <c r="C22" s="7" t="s">
        <v>328</v>
      </c>
      <c r="D22" s="18" t="s">
        <v>329</v>
      </c>
      <c r="E22" s="20">
        <f>D19*1000/B19</f>
        <v>39.735099337748345</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45">
      <c r="A25" s="16" t="s">
        <v>332</v>
      </c>
      <c r="B25" s="6"/>
      <c r="C25" s="7" t="s">
        <v>333</v>
      </c>
      <c r="D25" s="18" t="s">
        <v>329</v>
      </c>
      <c r="E25" s="20">
        <f>D19*1000000/C19</f>
        <v>16.556291390728475</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45">
      <c r="A28" s="16" t="s">
        <v>336</v>
      </c>
      <c r="B28" s="6"/>
      <c r="C28" s="7" t="s">
        <v>319</v>
      </c>
      <c r="D28" s="18" t="s">
        <v>329</v>
      </c>
      <c r="E28" s="23">
        <f>E19/B19</f>
        <v>7.9470198675496678E-2</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ht="13.15">
      <c r="A33" s="9"/>
    </row>
    <row r="58" spans="5:6" ht="13.15">
      <c r="E58" t="s">
        <v>347</v>
      </c>
      <c r="F58" s="27"/>
    </row>
    <row r="59" spans="5:6" ht="13.15">
      <c r="F59" s="27"/>
    </row>
  </sheetData>
  <mergeCells count="5">
    <mergeCell ref="F22:F23"/>
    <mergeCell ref="F25:F26"/>
    <mergeCell ref="F28:F29"/>
    <mergeCell ref="A31:F31"/>
    <mergeCell ref="A32:F32"/>
  </mergeCells>
  <phoneticPr fontId="0" type="noConversion"/>
  <printOptions horizontalCentered="1"/>
  <pageMargins left="0.98425196850393704" right="0.59055118110236227" top="0.59055118110236227" bottom="0.59055118110236227" header="0" footer="0"/>
  <pageSetup paperSize="9" scale="85" orientation="portrait"/>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pageSetUpPr fitToPage="1"/>
  </sheetPr>
  <dimension ref="A1:R59"/>
  <sheetViews>
    <sheetView topLeftCell="A4" workbookViewId="0">
      <selection activeCell="C15" sqref="C15"/>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140625" customWidth="1"/>
    <col min="10" max="10" width="9.140625"/>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31</v>
      </c>
      <c r="C2" s="9"/>
      <c r="F2" s="11"/>
      <c r="P2" s="1"/>
      <c r="Q2" s="9"/>
      <c r="R2" s="12"/>
    </row>
    <row r="3" spans="1:18" ht="21" customHeight="1">
      <c r="C3" s="9" t="s">
        <v>314</v>
      </c>
      <c r="H3" s="47" t="s">
        <v>315</v>
      </c>
      <c r="I3" s="47"/>
      <c r="K3" s="47" t="s">
        <v>315</v>
      </c>
    </row>
    <row r="4" spans="1:18" ht="6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13</v>
      </c>
      <c r="C6" s="5">
        <f>B6*200</f>
        <v>2600</v>
      </c>
      <c r="D6" s="5">
        <v>0</v>
      </c>
      <c r="E6" s="5">
        <v>0</v>
      </c>
      <c r="F6" s="5">
        <f t="shared" ref="F6:F17" si="0">D6*1000/B6*12</f>
        <v>0</v>
      </c>
      <c r="G6" s="37">
        <f>D6*1000000/C6</f>
        <v>0</v>
      </c>
      <c r="H6" s="49">
        <f>+D7*1000000/C7</f>
        <v>0</v>
      </c>
      <c r="I6" s="49">
        <f>+H6/1000</f>
        <v>0</v>
      </c>
      <c r="J6" s="46">
        <f>+AVERAGE($D$6:D7)</f>
        <v>0</v>
      </c>
      <c r="K6" s="43" t="str">
        <f>+IF(J6=0,"Sin eventos registrados",30/J6)</f>
        <v>Sin eventos registrados</v>
      </c>
    </row>
    <row r="7" spans="1:18">
      <c r="A7" s="4">
        <v>45689</v>
      </c>
      <c r="B7" s="5">
        <v>13</v>
      </c>
      <c r="C7" s="5">
        <f>B7*200</f>
        <v>2600</v>
      </c>
      <c r="D7" s="5">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45717</v>
      </c>
      <c r="B8" s="5">
        <v>27</v>
      </c>
      <c r="C8" s="5">
        <f>B8*200</f>
        <v>5400</v>
      </c>
      <c r="D8" s="5">
        <v>0</v>
      </c>
      <c r="E8" s="5">
        <v>0</v>
      </c>
      <c r="F8" s="5">
        <f t="shared" si="0"/>
        <v>0</v>
      </c>
      <c r="G8" s="37">
        <f>D8*1000000/C8</f>
        <v>0</v>
      </c>
      <c r="H8" s="49">
        <f>+SUM($D$6:D9)*1000000/SUM($C$6:C9)</f>
        <v>62.5</v>
      </c>
      <c r="I8" s="49">
        <f t="shared" si="1"/>
        <v>6.25E-2</v>
      </c>
      <c r="J8" s="46">
        <f>+AVERAGE($D$6:D9)</f>
        <v>0.25</v>
      </c>
      <c r="K8" s="43">
        <f t="shared" si="2"/>
        <v>120</v>
      </c>
    </row>
    <row r="9" spans="1:18">
      <c r="A9" s="4">
        <v>45748</v>
      </c>
      <c r="B9" s="5">
        <v>27</v>
      </c>
      <c r="C9" s="5">
        <f t="shared" ref="C9:C10" si="3">B9*200</f>
        <v>5400</v>
      </c>
      <c r="D9" s="5">
        <v>1</v>
      </c>
      <c r="E9" s="41">
        <v>25</v>
      </c>
      <c r="F9" s="5">
        <f t="shared" si="0"/>
        <v>444.44444444444446</v>
      </c>
      <c r="G9" s="37">
        <f>D9*1000000/C9</f>
        <v>185.18518518518519</v>
      </c>
      <c r="H9" s="49">
        <f>+SUM($D$6:D10)*1000000/SUM($C$6:C10)</f>
        <v>46.728971962616825</v>
      </c>
      <c r="I9" s="49">
        <f>+H9/1000</f>
        <v>4.6728971962616828E-2</v>
      </c>
      <c r="J9" s="46">
        <f>+AVERAGE($D$6:D10)</f>
        <v>0.2</v>
      </c>
      <c r="K9" s="43">
        <f>+IF(J9=0,"Sin eventos registrados",30/J9)</f>
        <v>150</v>
      </c>
    </row>
    <row r="10" spans="1:18">
      <c r="A10" s="4">
        <v>45778</v>
      </c>
      <c r="B10" s="5">
        <v>27</v>
      </c>
      <c r="C10" s="5">
        <f t="shared" si="3"/>
        <v>5400</v>
      </c>
      <c r="D10" s="5">
        <v>0</v>
      </c>
      <c r="E10" s="41">
        <v>0</v>
      </c>
      <c r="F10" s="5">
        <f t="shared" si="0"/>
        <v>0</v>
      </c>
      <c r="G10" s="37">
        <f t="shared" ref="G10:G17" si="4">D10*1000000/C10</f>
        <v>0</v>
      </c>
      <c r="H10" s="49">
        <f>+SUM($D$6:D11)*1000000/SUM($C$6:C11)</f>
        <v>37.313432835820898</v>
      </c>
      <c r="I10" s="49">
        <f t="shared" si="1"/>
        <v>3.7313432835820899E-2</v>
      </c>
      <c r="J10" s="46">
        <f>+AVERAGE($D$6:D11)</f>
        <v>0.16666666666666666</v>
      </c>
      <c r="K10" s="43">
        <f>+IF(J10=0,"Sin eventos registrados",30/J10)</f>
        <v>180</v>
      </c>
    </row>
    <row r="11" spans="1:18">
      <c r="A11" s="4">
        <v>45809</v>
      </c>
      <c r="B11" s="5">
        <v>27</v>
      </c>
      <c r="C11" s="5">
        <f>B11*200</f>
        <v>5400</v>
      </c>
      <c r="D11" s="5">
        <v>0</v>
      </c>
      <c r="E11" s="5">
        <v>0</v>
      </c>
      <c r="F11" s="5">
        <f t="shared" si="0"/>
        <v>0</v>
      </c>
      <c r="G11" s="37">
        <f>D11*1000000/C11</f>
        <v>0</v>
      </c>
      <c r="H11" s="49">
        <f>+SUM($D$6:D12)*1000000/SUM($C$6:C12)</f>
        <v>30.120481927710845</v>
      </c>
      <c r="I11" s="49">
        <f t="shared" si="1"/>
        <v>3.0120481927710843E-2</v>
      </c>
      <c r="J11" s="46">
        <f>+AVERAGE($D$6:D12)</f>
        <v>0.14285714285714285</v>
      </c>
      <c r="K11" s="43">
        <f t="shared" si="2"/>
        <v>210</v>
      </c>
    </row>
    <row r="12" spans="1:18">
      <c r="A12" s="4">
        <v>45839</v>
      </c>
      <c r="B12" s="5">
        <v>32</v>
      </c>
      <c r="C12" s="5">
        <f>B12*200</f>
        <v>6400</v>
      </c>
      <c r="D12" s="5">
        <v>0</v>
      </c>
      <c r="E12" s="5">
        <v>0</v>
      </c>
      <c r="F12" s="5">
        <f>D12*1000/B12</f>
        <v>0</v>
      </c>
      <c r="G12" s="37">
        <f>D12*1000000/C12</f>
        <v>0</v>
      </c>
      <c r="H12" s="49">
        <f>+SUM($D$6:D13)*1000000/SUM($C$6:C13)</f>
        <v>25.987525987525988</v>
      </c>
      <c r="I12" s="49">
        <f t="shared" si="1"/>
        <v>2.5987525987525989E-2</v>
      </c>
      <c r="J12" s="46">
        <f>+AVERAGE($D$6:D13)</f>
        <v>0.125</v>
      </c>
      <c r="K12" s="43">
        <f t="shared" si="2"/>
        <v>240</v>
      </c>
    </row>
    <row r="13" spans="1:18">
      <c r="A13" s="4">
        <v>45870</v>
      </c>
      <c r="B13" s="5">
        <v>30</v>
      </c>
      <c r="C13" s="5">
        <f t="shared" ref="C13" si="5">B13*8*22</f>
        <v>5280</v>
      </c>
      <c r="D13" s="5">
        <v>0</v>
      </c>
      <c r="E13" s="5">
        <v>0</v>
      </c>
      <c r="F13" s="5">
        <f>D13*1000/B13*12</f>
        <v>0</v>
      </c>
      <c r="G13" s="37">
        <f t="shared" si="4"/>
        <v>0</v>
      </c>
      <c r="H13" s="49">
        <f>+SUM($D$6:D14)*1000000/SUM($C$6:C14)</f>
        <v>23.105360443622921</v>
      </c>
      <c r="I13" s="49">
        <f>+H13/1000</f>
        <v>2.3105360443622922E-2</v>
      </c>
      <c r="J13" s="46">
        <f>+AVERAGE($D$6:D14)</f>
        <v>0.1111111111111111</v>
      </c>
      <c r="K13" s="43">
        <f t="shared" si="2"/>
        <v>270</v>
      </c>
    </row>
    <row r="14" spans="1:18">
      <c r="A14" s="4">
        <v>45901</v>
      </c>
      <c r="B14" s="5">
        <v>24</v>
      </c>
      <c r="C14" s="5">
        <f>B14*8*25</f>
        <v>4800</v>
      </c>
      <c r="D14" s="5">
        <v>0</v>
      </c>
      <c r="E14" s="5">
        <v>0</v>
      </c>
      <c r="F14" s="5">
        <f t="shared" si="0"/>
        <v>0</v>
      </c>
      <c r="G14" s="37">
        <f t="shared" si="4"/>
        <v>0</v>
      </c>
      <c r="H14" s="49">
        <f>+SUM($D$6:D15)*1000000/SUM($C$6:C15)</f>
        <v>20.712510356255176</v>
      </c>
      <c r="I14" s="49">
        <f t="shared" si="1"/>
        <v>2.0712510356255178E-2</v>
      </c>
      <c r="J14" s="46">
        <f>+AVERAGE($D$6:D15)</f>
        <v>0.1</v>
      </c>
      <c r="K14" s="43">
        <f t="shared" si="2"/>
        <v>300</v>
      </c>
    </row>
    <row r="15" spans="1:18">
      <c r="A15" s="4">
        <v>45931</v>
      </c>
      <c r="B15" s="5">
        <v>25</v>
      </c>
      <c r="C15" s="5">
        <f t="shared" ref="C15:C17" si="6">B15*8*25</f>
        <v>5000</v>
      </c>
      <c r="D15" s="5">
        <v>0</v>
      </c>
      <c r="E15" s="5">
        <v>0</v>
      </c>
      <c r="F15" s="5">
        <f t="shared" si="0"/>
        <v>0</v>
      </c>
      <c r="G15" s="37">
        <f t="shared" si="4"/>
        <v>0</v>
      </c>
      <c r="H15" s="49">
        <f>+SUM($D$6:D16)*1000000/SUM($C$6:C16)</f>
        <v>18.768768768768769</v>
      </c>
      <c r="I15" s="49">
        <f t="shared" si="1"/>
        <v>1.8768768768768769E-2</v>
      </c>
      <c r="J15" s="46">
        <f>+AVERAGE($D$6:D16)</f>
        <v>9.0909090909090912E-2</v>
      </c>
      <c r="K15" s="43">
        <f t="shared" si="2"/>
        <v>330</v>
      </c>
    </row>
    <row r="16" spans="1:18">
      <c r="A16" s="4">
        <v>45962</v>
      </c>
      <c r="B16" s="5">
        <v>25</v>
      </c>
      <c r="C16" s="5">
        <f t="shared" si="6"/>
        <v>5000</v>
      </c>
      <c r="D16" s="5">
        <v>0</v>
      </c>
      <c r="E16" s="5">
        <v>0</v>
      </c>
      <c r="F16" s="5">
        <f t="shared" si="0"/>
        <v>0</v>
      </c>
      <c r="G16" s="37">
        <f t="shared" si="4"/>
        <v>0</v>
      </c>
      <c r="H16" s="49">
        <f>+SUM($D$6:D17)*1000000/SUM($C$6:C17)</f>
        <v>17.337031900138697</v>
      </c>
      <c r="I16" s="49">
        <f t="shared" si="1"/>
        <v>1.7337031900138699E-2</v>
      </c>
      <c r="J16" s="46">
        <f>+AVERAGE($D$6:D17)</f>
        <v>8.3333333333333329E-2</v>
      </c>
      <c r="K16" s="43">
        <f t="shared" si="2"/>
        <v>360</v>
      </c>
    </row>
    <row r="17" spans="1:12">
      <c r="A17" s="4">
        <v>45992</v>
      </c>
      <c r="B17" s="5">
        <v>22</v>
      </c>
      <c r="C17" s="5">
        <f t="shared" si="6"/>
        <v>4400</v>
      </c>
      <c r="D17" s="5">
        <v>0</v>
      </c>
      <c r="E17" s="5">
        <v>0</v>
      </c>
      <c r="F17" s="5">
        <f t="shared" si="0"/>
        <v>0</v>
      </c>
      <c r="G17" s="37">
        <f t="shared" si="4"/>
        <v>0</v>
      </c>
      <c r="H17" s="49">
        <f>+SUM($D$6:D18)*1000000/SUM($C$6:C18)</f>
        <v>17.337031900138697</v>
      </c>
      <c r="I17" s="49">
        <f t="shared" si="1"/>
        <v>1.7337031900138699E-2</v>
      </c>
      <c r="J17" s="46">
        <f>+AVERAGE($D$6:D18)</f>
        <v>8.3333333333333329E-2</v>
      </c>
      <c r="K17" s="43">
        <f t="shared" si="2"/>
        <v>360</v>
      </c>
    </row>
    <row r="18" spans="1:12">
      <c r="A18" s="4"/>
      <c r="B18" s="5"/>
      <c r="C18" s="5"/>
      <c r="D18" s="5"/>
      <c r="E18" s="5"/>
      <c r="F18" s="5"/>
    </row>
    <row r="19" spans="1:12">
      <c r="A19" s="3" t="s">
        <v>326</v>
      </c>
      <c r="B19" s="5">
        <f>SUM(B6:B17)/7</f>
        <v>41.714285714285715</v>
      </c>
      <c r="C19" s="5">
        <f>SUM(C6:C17)</f>
        <v>57680</v>
      </c>
      <c r="D19" s="5">
        <f>SUM(D6:D17)</f>
        <v>1</v>
      </c>
      <c r="E19" s="10">
        <f>SUM(E6:E17)</f>
        <v>25</v>
      </c>
      <c r="F19" s="5">
        <f>D19*1000/B19</f>
        <v>23.972602739726028</v>
      </c>
    </row>
    <row r="20" spans="1:12">
      <c r="A20" s="2"/>
    </row>
    <row r="21" spans="1:12">
      <c r="A21" s="2"/>
    </row>
    <row r="22" spans="1:12" ht="18" customHeight="1">
      <c r="A22" s="16" t="s">
        <v>327</v>
      </c>
      <c r="B22" s="6"/>
      <c r="C22" s="7" t="s">
        <v>328</v>
      </c>
      <c r="D22" s="18" t="s">
        <v>329</v>
      </c>
      <c r="E22" s="20">
        <f>D19*1000/B19</f>
        <v>23.972602739726028</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17.337031900138697</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0.59931506849315064</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5B26-89E0-4FF2-B11E-F10B278BDFB9}">
  <sheetPr>
    <tabColor theme="1"/>
    <pageSetUpPr fitToPage="1"/>
  </sheetPr>
  <dimension ref="A1:R59"/>
  <sheetViews>
    <sheetView topLeftCell="A6" workbookViewId="0">
      <selection activeCell="E12" sqref="E12"/>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140625" customWidth="1"/>
    <col min="10" max="10" width="9.140625"/>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33</v>
      </c>
      <c r="C2" s="9"/>
      <c r="F2" s="11"/>
      <c r="P2" s="1"/>
      <c r="Q2" s="9"/>
      <c r="R2" s="12"/>
    </row>
    <row r="3" spans="1:18" ht="21" customHeight="1">
      <c r="C3" s="9" t="s">
        <v>314</v>
      </c>
      <c r="H3" s="47" t="s">
        <v>315</v>
      </c>
      <c r="I3" s="47"/>
      <c r="K3" s="47" t="s">
        <v>315</v>
      </c>
    </row>
    <row r="4" spans="1:18" ht="6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10</v>
      </c>
      <c r="C6" s="5">
        <f>B6*200</f>
        <v>2000</v>
      </c>
      <c r="D6" s="5">
        <v>0</v>
      </c>
      <c r="E6" s="5">
        <v>0</v>
      </c>
      <c r="F6" s="5">
        <f t="shared" ref="F6:F17" si="0">D6*1000/B6*12</f>
        <v>0</v>
      </c>
      <c r="G6" s="37">
        <f>D6*1000000/C6</f>
        <v>0</v>
      </c>
      <c r="H6" s="49">
        <f>+SUM($D$6:D7)*1000000/SUM($C$6:C7)</f>
        <v>0</v>
      </c>
      <c r="I6" s="49">
        <f>+H6/1000</f>
        <v>0</v>
      </c>
      <c r="J6" s="46">
        <f>+AVERAGE($D$6:D7)</f>
        <v>0</v>
      </c>
      <c r="K6" s="43" t="str">
        <f>+IF(J6=0,"Sin eventos registrados",30/J6)</f>
        <v>Sin eventos registrados</v>
      </c>
    </row>
    <row r="7" spans="1:18">
      <c r="A7" s="4">
        <v>45689</v>
      </c>
      <c r="B7" s="5">
        <v>10</v>
      </c>
      <c r="C7" s="5">
        <f>B7*200</f>
        <v>2000</v>
      </c>
      <c r="D7" s="5">
        <v>0</v>
      </c>
      <c r="E7" s="5">
        <v>0</v>
      </c>
      <c r="F7" s="5">
        <f t="shared" si="0"/>
        <v>0</v>
      </c>
      <c r="G7" s="37">
        <f>D7*1000000/C7</f>
        <v>0</v>
      </c>
      <c r="H7" s="49">
        <f>+SUM($D$6:D8)*1000000/SUM($C$6:C8)</f>
        <v>173.61111111111111</v>
      </c>
      <c r="I7" s="49">
        <f t="shared" ref="I7:I17" si="1">+H7/1000</f>
        <v>0.1736111111111111</v>
      </c>
      <c r="J7" s="46">
        <f>+AVERAGE($D$6:D8)</f>
        <v>0.33333333333333331</v>
      </c>
      <c r="K7" s="43">
        <f t="shared" ref="K7:K17" si="2">+IF(J7=0,"Sin eventos registrados",30/J7)</f>
        <v>90</v>
      </c>
    </row>
    <row r="8" spans="1:18">
      <c r="A8" s="4">
        <v>45717</v>
      </c>
      <c r="B8" s="5">
        <v>10</v>
      </c>
      <c r="C8" s="5">
        <f t="shared" ref="C8:C16" si="3">B8*8*22</f>
        <v>1760</v>
      </c>
      <c r="D8" s="5">
        <v>1</v>
      </c>
      <c r="E8" s="5">
        <v>31</v>
      </c>
      <c r="F8" s="5">
        <f t="shared" si="0"/>
        <v>1200</v>
      </c>
      <c r="G8" s="37">
        <f>D8*1000000/C8</f>
        <v>568.18181818181813</v>
      </c>
      <c r="H8" s="49">
        <f>+SUM($D$6:D9)*1000000/SUM($C$6:C9)</f>
        <v>132.97872340425531</v>
      </c>
      <c r="I8" s="49">
        <f t="shared" si="1"/>
        <v>0.13297872340425532</v>
      </c>
      <c r="J8" s="46">
        <f>+AVERAGE($D$6:D9)</f>
        <v>0.25</v>
      </c>
      <c r="K8" s="43">
        <f t="shared" si="2"/>
        <v>120</v>
      </c>
    </row>
    <row r="9" spans="1:18">
      <c r="A9" s="4">
        <v>45748</v>
      </c>
      <c r="B9" s="5">
        <v>10</v>
      </c>
      <c r="C9" s="5">
        <f t="shared" si="3"/>
        <v>1760</v>
      </c>
      <c r="D9" s="5">
        <v>0</v>
      </c>
      <c r="E9" s="5">
        <v>30</v>
      </c>
      <c r="F9" s="5">
        <f t="shared" si="0"/>
        <v>0</v>
      </c>
      <c r="G9" s="37">
        <f>D9*1000000/C9</f>
        <v>0</v>
      </c>
      <c r="H9" s="49">
        <f>+SUM($D$6:D10)*1000000/SUM($C$6:C10)</f>
        <v>105.04201680672269</v>
      </c>
      <c r="I9" s="49">
        <f>+H9/1000</f>
        <v>0.10504201680672269</v>
      </c>
      <c r="J9" s="46">
        <f>+AVERAGE($D$6:D10)</f>
        <v>0.2</v>
      </c>
      <c r="K9" s="43">
        <f>+IF(J9=0,"Sin eventos registrados",30/J9)</f>
        <v>150</v>
      </c>
    </row>
    <row r="10" spans="1:18">
      <c r="A10" s="4">
        <v>45778</v>
      </c>
      <c r="B10" s="5">
        <v>10</v>
      </c>
      <c r="C10" s="5">
        <f>B10*200</f>
        <v>2000</v>
      </c>
      <c r="D10" s="5">
        <v>0</v>
      </c>
      <c r="E10" s="5">
        <v>0</v>
      </c>
      <c r="F10" s="5">
        <f t="shared" si="0"/>
        <v>0</v>
      </c>
      <c r="G10" s="37">
        <f t="shared" ref="G10:G17" si="4">D10*1000000/C10</f>
        <v>0</v>
      </c>
      <c r="H10" s="49">
        <f>+SUM($D$6:D11)*1000000/SUM($C$6:C11)</f>
        <v>86.805555555555557</v>
      </c>
      <c r="I10" s="49">
        <f t="shared" si="1"/>
        <v>8.6805555555555552E-2</v>
      </c>
      <c r="J10" s="46">
        <f>+AVERAGE($D$6:D11)</f>
        <v>0.16666666666666666</v>
      </c>
      <c r="K10" s="43">
        <f>+IF(J10=0,"Sin eventos registrados",30/J10)</f>
        <v>180</v>
      </c>
    </row>
    <row r="11" spans="1:18">
      <c r="A11" s="4">
        <v>45809</v>
      </c>
      <c r="B11" s="5">
        <v>10</v>
      </c>
      <c r="C11" s="5">
        <f>B11*200</f>
        <v>2000</v>
      </c>
      <c r="D11" s="5">
        <v>0</v>
      </c>
      <c r="E11" s="5">
        <v>0</v>
      </c>
      <c r="F11" s="5">
        <f t="shared" si="0"/>
        <v>0</v>
      </c>
      <c r="G11" s="37">
        <f>D11*1000000/C11</f>
        <v>0</v>
      </c>
      <c r="H11" s="49">
        <f>+SUM($D$6:D12)*1000000/SUM($C$6:C12)</f>
        <v>78.616352201257868</v>
      </c>
      <c r="I11" s="49">
        <f t="shared" si="1"/>
        <v>7.8616352201257872E-2</v>
      </c>
      <c r="J11" s="46">
        <f>+AVERAGE($D$6:D12)</f>
        <v>0.14285714285714285</v>
      </c>
      <c r="K11" s="43">
        <f t="shared" si="2"/>
        <v>210</v>
      </c>
    </row>
    <row r="12" spans="1:18">
      <c r="A12" s="4">
        <v>45839</v>
      </c>
      <c r="B12" s="5">
        <v>6</v>
      </c>
      <c r="C12" s="5">
        <f>B12*200</f>
        <v>1200</v>
      </c>
      <c r="D12" s="5">
        <v>0</v>
      </c>
      <c r="E12" s="5">
        <v>0</v>
      </c>
      <c r="F12" s="5">
        <f>D12*1000/B12</f>
        <v>0</v>
      </c>
      <c r="G12" s="37">
        <f>D12*1000000/C12</f>
        <v>0</v>
      </c>
      <c r="H12" s="49">
        <f>+SUM($D$6:D13)*1000000/SUM($C$6:C13)</f>
        <v>71.839080459770116</v>
      </c>
      <c r="I12" s="49">
        <f t="shared" si="1"/>
        <v>7.183908045977011E-2</v>
      </c>
      <c r="J12" s="46">
        <f>+AVERAGE($D$6:D13)</f>
        <v>0.125</v>
      </c>
      <c r="K12" s="43">
        <f t="shared" si="2"/>
        <v>240</v>
      </c>
    </row>
    <row r="13" spans="1:18">
      <c r="A13" s="4">
        <v>45870</v>
      </c>
      <c r="B13" s="5">
        <v>6</v>
      </c>
      <c r="C13" s="5">
        <f t="shared" ref="C13:C17" si="5">B13*200</f>
        <v>1200</v>
      </c>
      <c r="D13" s="5">
        <v>0</v>
      </c>
      <c r="E13" s="5">
        <v>0</v>
      </c>
      <c r="F13" s="5">
        <f>D13*1000/B13*12</f>
        <v>0</v>
      </c>
      <c r="G13" s="37">
        <f t="shared" si="4"/>
        <v>0</v>
      </c>
      <c r="H13" s="49">
        <f>+SUM($D$6:D14)*1000000/SUM($C$6:C14)</f>
        <v>67.934782608695656</v>
      </c>
      <c r="I13" s="49">
        <f>+H13/1000</f>
        <v>6.7934782608695662E-2</v>
      </c>
      <c r="J13" s="46">
        <f>+AVERAGE($D$6:D14)</f>
        <v>0.1111111111111111</v>
      </c>
      <c r="K13" s="43">
        <f t="shared" si="2"/>
        <v>270</v>
      </c>
    </row>
    <row r="14" spans="1:18">
      <c r="A14" s="4">
        <v>45901</v>
      </c>
      <c r="B14" s="5">
        <v>4</v>
      </c>
      <c r="C14" s="5">
        <f t="shared" si="5"/>
        <v>800</v>
      </c>
      <c r="D14" s="5">
        <v>0</v>
      </c>
      <c r="E14" s="5">
        <v>0</v>
      </c>
      <c r="F14" s="5">
        <f t="shared" si="0"/>
        <v>0</v>
      </c>
      <c r="G14" s="37">
        <f t="shared" si="4"/>
        <v>0</v>
      </c>
      <c r="H14" s="49">
        <f>+SUM($D$6:D15)*1000000/SUM($C$6:C15)</f>
        <v>63.613231552162851</v>
      </c>
      <c r="I14" s="49">
        <f t="shared" si="1"/>
        <v>6.3613231552162849E-2</v>
      </c>
      <c r="J14" s="46">
        <f>+AVERAGE($D$6:D15)</f>
        <v>0.1</v>
      </c>
      <c r="K14" s="43">
        <f t="shared" si="2"/>
        <v>300</v>
      </c>
    </row>
    <row r="15" spans="1:18">
      <c r="A15" s="4">
        <v>45931</v>
      </c>
      <c r="B15" s="5">
        <v>5</v>
      </c>
      <c r="C15" s="5">
        <f t="shared" si="5"/>
        <v>1000</v>
      </c>
      <c r="D15" s="5">
        <v>0</v>
      </c>
      <c r="E15" s="5">
        <v>0</v>
      </c>
      <c r="F15" s="5">
        <f t="shared" si="0"/>
        <v>0</v>
      </c>
      <c r="G15" s="37">
        <f t="shared" si="4"/>
        <v>0</v>
      </c>
      <c r="H15" s="49">
        <f>+SUM($D$6:D16)*1000000/SUM($C$6:C16)</f>
        <v>59.808612440191389</v>
      </c>
      <c r="I15" s="49">
        <f t="shared" si="1"/>
        <v>5.9808612440191387E-2</v>
      </c>
      <c r="J15" s="46">
        <f>+AVERAGE($D$6:D16)</f>
        <v>9.0909090909090912E-2</v>
      </c>
      <c r="K15" s="43">
        <f t="shared" si="2"/>
        <v>330</v>
      </c>
    </row>
    <row r="16" spans="1:18">
      <c r="A16" s="4">
        <v>45962</v>
      </c>
      <c r="B16" s="5">
        <v>5</v>
      </c>
      <c r="C16" s="5">
        <f t="shared" si="5"/>
        <v>1000</v>
      </c>
      <c r="D16" s="5">
        <v>0</v>
      </c>
      <c r="E16" s="5">
        <v>0</v>
      </c>
      <c r="F16" s="5">
        <f t="shared" si="0"/>
        <v>0</v>
      </c>
      <c r="G16" s="37">
        <f t="shared" si="4"/>
        <v>0</v>
      </c>
      <c r="H16" s="49">
        <f>+SUM($D$6:D17)*1000000/SUM($C$6:C17)</f>
        <v>57.077625570776256</v>
      </c>
      <c r="I16" s="49">
        <f t="shared" si="1"/>
        <v>5.7077625570776253E-2</v>
      </c>
      <c r="J16" s="46">
        <f>+AVERAGE($D$6:D17)</f>
        <v>8.3333333333333329E-2</v>
      </c>
      <c r="K16" s="43">
        <f t="shared" si="2"/>
        <v>360</v>
      </c>
    </row>
    <row r="17" spans="1:12">
      <c r="A17" s="4">
        <v>45992</v>
      </c>
      <c r="B17" s="5">
        <v>4</v>
      </c>
      <c r="C17" s="5">
        <f t="shared" si="5"/>
        <v>800</v>
      </c>
      <c r="D17" s="5">
        <v>0</v>
      </c>
      <c r="E17" s="5">
        <v>0</v>
      </c>
      <c r="F17" s="5">
        <f t="shared" si="0"/>
        <v>0</v>
      </c>
      <c r="G17" s="37">
        <f t="shared" si="4"/>
        <v>0</v>
      </c>
      <c r="H17" s="49">
        <f>+SUM($D$6:D18)*1000000/SUM($C$6:C18)</f>
        <v>57.077625570776256</v>
      </c>
      <c r="I17" s="49">
        <f t="shared" si="1"/>
        <v>5.7077625570776253E-2</v>
      </c>
      <c r="J17" s="46">
        <f>+AVERAGE($D$6:D18)</f>
        <v>8.3333333333333329E-2</v>
      </c>
      <c r="K17" s="43">
        <f t="shared" si="2"/>
        <v>360</v>
      </c>
    </row>
    <row r="18" spans="1:12">
      <c r="A18" s="4"/>
      <c r="B18" s="5"/>
      <c r="C18" s="5"/>
      <c r="D18" s="5"/>
      <c r="E18" s="5"/>
      <c r="F18" s="5"/>
    </row>
    <row r="19" spans="1:12">
      <c r="A19" s="3" t="s">
        <v>326</v>
      </c>
      <c r="B19" s="5">
        <f>SUM(B6:B17)/12</f>
        <v>7.5</v>
      </c>
      <c r="C19" s="5">
        <f>SUM(C6:C17)</f>
        <v>17520</v>
      </c>
      <c r="D19" s="5">
        <f>SUM(D6:D17)</f>
        <v>1</v>
      </c>
      <c r="E19" s="10">
        <f>SUM(E6:E17)</f>
        <v>61</v>
      </c>
      <c r="F19" s="5">
        <f>D19*1000/B19</f>
        <v>133.33333333333334</v>
      </c>
    </row>
    <row r="20" spans="1:12">
      <c r="A20" s="2"/>
    </row>
    <row r="21" spans="1:12">
      <c r="A21" s="2"/>
    </row>
    <row r="22" spans="1:12" ht="18" customHeight="1">
      <c r="A22" s="16" t="s">
        <v>327</v>
      </c>
      <c r="B22" s="6"/>
      <c r="C22" s="7" t="s">
        <v>328</v>
      </c>
      <c r="D22" s="18" t="s">
        <v>329</v>
      </c>
      <c r="E22" s="20">
        <f>D19*1000/B19</f>
        <v>133.33333333333334</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57.077625570776256</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8.1333333333333329</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pageSetUpPr fitToPage="1"/>
  </sheetPr>
  <dimension ref="A1:R59"/>
  <sheetViews>
    <sheetView showGridLines="0" topLeftCell="A3" workbookViewId="0">
      <selection activeCell="B6" sqref="B6"/>
    </sheetView>
  </sheetViews>
  <sheetFormatPr defaultColWidth="11.42578125" defaultRowHeight="13.15"/>
  <cols>
    <col min="1" max="2" width="14.28515625" customWidth="1"/>
    <col min="3" max="3" width="21.42578125" customWidth="1"/>
    <col min="4" max="5" width="14.28515625" customWidth="1"/>
    <col min="6" max="6" width="14.28515625" style="2" customWidth="1"/>
    <col min="8" max="8" width="34.5703125" customWidth="1"/>
    <col min="9" max="9" width="21.42578125" customWidth="1"/>
    <col min="10" max="10" width="30.28515625" customWidth="1"/>
    <col min="11" max="11" width="36.42578125" customWidth="1"/>
    <col min="16" max="16" width="21.7109375" customWidth="1"/>
    <col min="17" max="17" width="24.7109375" customWidth="1"/>
  </cols>
  <sheetData>
    <row r="1" spans="1:18" ht="42" customHeight="1">
      <c r="A1" s="13"/>
      <c r="C1" s="25" t="s">
        <v>312</v>
      </c>
      <c r="F1" s="15">
        <v>2025</v>
      </c>
      <c r="P1" s="1"/>
      <c r="Q1" s="9" t="s">
        <v>345</v>
      </c>
      <c r="R1" s="12">
        <v>39083</v>
      </c>
    </row>
    <row r="2" spans="1:18" ht="22.15">
      <c r="A2" s="14" t="s">
        <v>13</v>
      </c>
      <c r="C2" s="9"/>
      <c r="F2" s="11"/>
      <c r="P2" s="1"/>
      <c r="Q2" s="9"/>
      <c r="R2" s="12"/>
    </row>
    <row r="3" spans="1:18" ht="21" customHeight="1">
      <c r="C3" s="9" t="s">
        <v>314</v>
      </c>
      <c r="H3" s="47" t="s">
        <v>315</v>
      </c>
      <c r="I3" s="47"/>
      <c r="K3" s="47" t="s">
        <v>315</v>
      </c>
    </row>
    <row r="4" spans="1:18" ht="39.6">
      <c r="A4" s="3" t="s">
        <v>316</v>
      </c>
      <c r="B4" s="3" t="s">
        <v>317</v>
      </c>
      <c r="C4" s="3" t="s">
        <v>318</v>
      </c>
      <c r="D4" s="3" t="s">
        <v>41</v>
      </c>
      <c r="E4" s="3" t="s">
        <v>319</v>
      </c>
      <c r="F4" s="3" t="s">
        <v>320</v>
      </c>
      <c r="G4" s="37" t="s">
        <v>321</v>
      </c>
      <c r="H4" s="50" t="s">
        <v>322</v>
      </c>
      <c r="I4" s="48" t="s">
        <v>323</v>
      </c>
      <c r="J4" s="45" t="s">
        <v>324</v>
      </c>
      <c r="K4" s="51" t="s">
        <v>325</v>
      </c>
    </row>
    <row r="5" spans="1:18" ht="35.25" customHeight="1">
      <c r="A5" s="2"/>
      <c r="B5" s="2"/>
      <c r="C5" s="2"/>
      <c r="D5" s="2"/>
      <c r="E5" s="2"/>
      <c r="H5" s="47"/>
      <c r="I5" s="47"/>
      <c r="J5" s="42"/>
      <c r="K5" s="42"/>
    </row>
    <row r="6" spans="1:18">
      <c r="A6" s="4">
        <v>45658</v>
      </c>
      <c r="B6" s="5">
        <v>4</v>
      </c>
      <c r="C6" s="5">
        <v>2520</v>
      </c>
      <c r="D6" s="5">
        <v>0</v>
      </c>
      <c r="E6" s="5">
        <v>0</v>
      </c>
      <c r="F6" s="26">
        <f>D6*1000/B6*12</f>
        <v>0</v>
      </c>
      <c r="G6" s="37">
        <f t="shared" ref="G6:G11" si="0">D6*1000000/C6</f>
        <v>0</v>
      </c>
      <c r="H6" s="49">
        <f>+D7*1000000/C7</f>
        <v>0</v>
      </c>
      <c r="I6" s="49">
        <f>+H6/1000</f>
        <v>0</v>
      </c>
      <c r="J6" s="46">
        <f>+AVERAGE($D$6:D7)</f>
        <v>0</v>
      </c>
      <c r="K6" s="43" t="str">
        <f>+IF(J6=0,"Sin eventos registrados",30/J6)</f>
        <v>Sin eventos registrados</v>
      </c>
    </row>
    <row r="7" spans="1:18">
      <c r="A7" s="4">
        <v>45689</v>
      </c>
      <c r="B7" s="5">
        <v>4</v>
      </c>
      <c r="C7" s="5">
        <v>2272</v>
      </c>
      <c r="D7" s="5">
        <v>0</v>
      </c>
      <c r="E7" s="5">
        <v>0</v>
      </c>
      <c r="F7" s="26">
        <f>D7*1000/B7*12</f>
        <v>0</v>
      </c>
      <c r="G7" s="37">
        <f t="shared" si="0"/>
        <v>0</v>
      </c>
      <c r="H7" s="49">
        <f>+SUM($D$6:D8)*1000000/SUM($C$6:C8)</f>
        <v>0</v>
      </c>
      <c r="I7" s="49">
        <f t="shared" ref="I7:I17" si="1">+H7/1000</f>
        <v>0</v>
      </c>
      <c r="J7" s="46">
        <f>+AVERAGE($D$6:D8)</f>
        <v>0</v>
      </c>
      <c r="K7" s="43" t="str">
        <f t="shared" ref="K7:K17" si="2">+IF(J7=0,"Sin eventos registrados",30/J7)</f>
        <v>Sin eventos registrados</v>
      </c>
    </row>
    <row r="8" spans="1:18">
      <c r="A8" s="4">
        <v>45717</v>
      </c>
      <c r="B8" s="5">
        <v>4</v>
      </c>
      <c r="C8" s="5">
        <f>B8*200</f>
        <v>800</v>
      </c>
      <c r="D8" s="5">
        <v>0</v>
      </c>
      <c r="E8" s="5">
        <v>0</v>
      </c>
      <c r="F8" s="26">
        <f>D8*1000/B8*12</f>
        <v>0</v>
      </c>
      <c r="G8" s="37">
        <f t="shared" si="0"/>
        <v>0</v>
      </c>
      <c r="H8" s="49">
        <f>+SUM($D$6:D9)*1000000/SUM($C$6:C9)</f>
        <v>0</v>
      </c>
      <c r="I8" s="49">
        <f t="shared" si="1"/>
        <v>0</v>
      </c>
      <c r="J8" s="46">
        <f>+AVERAGE($D$6:D9)</f>
        <v>0</v>
      </c>
      <c r="K8" s="43" t="str">
        <f t="shared" si="2"/>
        <v>Sin eventos registrados</v>
      </c>
    </row>
    <row r="9" spans="1:18">
      <c r="A9" s="4">
        <v>45748</v>
      </c>
      <c r="B9" s="5">
        <v>4</v>
      </c>
      <c r="C9" s="5">
        <f>B9*200</f>
        <v>800</v>
      </c>
      <c r="D9" s="5">
        <v>0</v>
      </c>
      <c r="E9" s="5">
        <v>0</v>
      </c>
      <c r="F9" s="26">
        <f>D9*1000/B9*12</f>
        <v>0</v>
      </c>
      <c r="G9" s="37">
        <f t="shared" si="0"/>
        <v>0</v>
      </c>
      <c r="H9" s="49">
        <f>+SUM($D$6:D10)*1000000/SUM($C$6:C10)</f>
        <v>0</v>
      </c>
      <c r="I9" s="49">
        <f>+H9/1000</f>
        <v>0</v>
      </c>
      <c r="J9" s="46">
        <f>+AVERAGE($D$6:D10)</f>
        <v>0</v>
      </c>
      <c r="K9" s="43" t="str">
        <f>+IF(J9=0,"Sin eventos registrados",30/J9)</f>
        <v>Sin eventos registrados</v>
      </c>
    </row>
    <row r="10" spans="1:18">
      <c r="A10" s="4">
        <v>45778</v>
      </c>
      <c r="B10" s="5">
        <v>4</v>
      </c>
      <c r="C10" s="5">
        <f>B10*200</f>
        <v>800</v>
      </c>
      <c r="D10" s="5">
        <v>0</v>
      </c>
      <c r="E10" s="5">
        <v>0</v>
      </c>
      <c r="F10" s="26">
        <f>D10*1000/B10*12</f>
        <v>0</v>
      </c>
      <c r="G10" s="37">
        <f t="shared" si="0"/>
        <v>0</v>
      </c>
      <c r="H10" s="49">
        <f>+SUM($D$6:D11)*1000000/SUM($C$6:C11)</f>
        <v>0</v>
      </c>
      <c r="I10" s="49">
        <f t="shared" si="1"/>
        <v>0</v>
      </c>
      <c r="J10" s="46">
        <f>+AVERAGE($D$6:D11)</f>
        <v>0</v>
      </c>
      <c r="K10" s="43" t="str">
        <f>+IF(J10=0,"Sin eventos registrados",30/J10)</f>
        <v>Sin eventos registrados</v>
      </c>
    </row>
    <row r="11" spans="1:18">
      <c r="A11" s="4">
        <v>45809</v>
      </c>
      <c r="B11" s="5">
        <v>4</v>
      </c>
      <c r="C11" s="5">
        <f>B11*200</f>
        <v>800</v>
      </c>
      <c r="D11" s="5">
        <v>0</v>
      </c>
      <c r="E11" s="5">
        <v>0</v>
      </c>
      <c r="F11" s="26">
        <f>D11*1000/B11</f>
        <v>0</v>
      </c>
      <c r="G11" s="37">
        <f t="shared" si="0"/>
        <v>0</v>
      </c>
      <c r="H11" s="49">
        <f>+SUM($D$6:D12)*1000000/SUM($C$6:C12)</f>
        <v>0</v>
      </c>
      <c r="I11" s="49">
        <f t="shared" si="1"/>
        <v>0</v>
      </c>
      <c r="J11" s="46">
        <f>+AVERAGE($D$6:D12)</f>
        <v>0</v>
      </c>
      <c r="K11" s="43" t="str">
        <f t="shared" si="2"/>
        <v>Sin eventos registrados</v>
      </c>
    </row>
    <row r="12" spans="1:18">
      <c r="A12" s="4">
        <v>45839</v>
      </c>
      <c r="B12" s="5">
        <v>3</v>
      </c>
      <c r="C12" s="5">
        <f>B12*200</f>
        <v>600</v>
      </c>
      <c r="D12" s="5">
        <v>0</v>
      </c>
      <c r="E12" s="5">
        <v>0</v>
      </c>
      <c r="F12" s="26">
        <f t="shared" ref="F12:F17" si="3">D12*1000/B12*12</f>
        <v>0</v>
      </c>
      <c r="G12" s="37">
        <f t="shared" ref="G12:G17" si="4">D12*1000000/C12</f>
        <v>0</v>
      </c>
      <c r="H12" s="49">
        <f>+SUM($D$6:D13)*1000000/SUM($C$6:C13)</f>
        <v>0</v>
      </c>
      <c r="I12" s="49">
        <f t="shared" si="1"/>
        <v>0</v>
      </c>
      <c r="J12" s="46">
        <f>+AVERAGE($D$6:D13)</f>
        <v>0</v>
      </c>
      <c r="K12" s="43" t="str">
        <f t="shared" si="2"/>
        <v>Sin eventos registrados</v>
      </c>
    </row>
    <row r="13" spans="1:18">
      <c r="A13" s="4">
        <v>45870</v>
      </c>
      <c r="B13" s="5">
        <v>4</v>
      </c>
      <c r="C13" s="5">
        <f>B13*200</f>
        <v>800</v>
      </c>
      <c r="D13" s="5">
        <v>0</v>
      </c>
      <c r="E13" s="5">
        <v>0</v>
      </c>
      <c r="F13" s="26">
        <f t="shared" si="3"/>
        <v>0</v>
      </c>
      <c r="G13" s="37">
        <f t="shared" si="4"/>
        <v>0</v>
      </c>
      <c r="H13" s="49">
        <f>+SUM($D$6:D14)*1000000/SUM($C$6:C14)</f>
        <v>0</v>
      </c>
      <c r="I13" s="49">
        <f>+H13/1000</f>
        <v>0</v>
      </c>
      <c r="J13" s="46">
        <f>+AVERAGE($D$6:D14)</f>
        <v>0</v>
      </c>
      <c r="K13" s="43" t="str">
        <f t="shared" si="2"/>
        <v>Sin eventos registrados</v>
      </c>
    </row>
    <row r="14" spans="1:18">
      <c r="A14" s="4">
        <v>45901</v>
      </c>
      <c r="B14" s="5">
        <v>7</v>
      </c>
      <c r="C14" s="5">
        <f t="shared" ref="C14:C17" si="5">B14*200</f>
        <v>1400</v>
      </c>
      <c r="D14" s="5">
        <v>0</v>
      </c>
      <c r="E14" s="5">
        <v>0</v>
      </c>
      <c r="F14" s="26">
        <f t="shared" si="3"/>
        <v>0</v>
      </c>
      <c r="G14" s="37">
        <f t="shared" si="4"/>
        <v>0</v>
      </c>
      <c r="H14" s="49">
        <f>+SUM($D$6:D15)*1000000/SUM($C$6:C15)</f>
        <v>0</v>
      </c>
      <c r="I14" s="49">
        <f t="shared" si="1"/>
        <v>0</v>
      </c>
      <c r="J14" s="46">
        <f>+AVERAGE($D$6:D15)</f>
        <v>0</v>
      </c>
      <c r="K14" s="43" t="str">
        <f t="shared" si="2"/>
        <v>Sin eventos registrados</v>
      </c>
    </row>
    <row r="15" spans="1:18">
      <c r="A15" s="4">
        <v>45931</v>
      </c>
      <c r="B15" s="5">
        <v>7</v>
      </c>
      <c r="C15" s="5">
        <f t="shared" si="5"/>
        <v>1400</v>
      </c>
      <c r="D15" s="5">
        <v>0</v>
      </c>
      <c r="E15" s="5">
        <v>0</v>
      </c>
      <c r="F15" s="26">
        <f t="shared" si="3"/>
        <v>0</v>
      </c>
      <c r="G15" s="37">
        <f t="shared" si="4"/>
        <v>0</v>
      </c>
      <c r="H15" s="49">
        <f>+SUM($D$6:D16)*1000000/SUM($C$6:C16)</f>
        <v>0</v>
      </c>
      <c r="I15" s="49">
        <f t="shared" si="1"/>
        <v>0</v>
      </c>
      <c r="J15" s="46">
        <f>+AVERAGE($D$6:D16)</f>
        <v>0</v>
      </c>
      <c r="K15" s="43" t="str">
        <f t="shared" si="2"/>
        <v>Sin eventos registrados</v>
      </c>
    </row>
    <row r="16" spans="1:18">
      <c r="A16" s="4">
        <v>45962</v>
      </c>
      <c r="B16" s="5">
        <v>7</v>
      </c>
      <c r="C16" s="5">
        <f t="shared" si="5"/>
        <v>1400</v>
      </c>
      <c r="D16" s="5">
        <v>0</v>
      </c>
      <c r="E16" s="5">
        <v>0</v>
      </c>
      <c r="F16" s="26">
        <f t="shared" si="3"/>
        <v>0</v>
      </c>
      <c r="G16" s="37">
        <f>D16*1000000/C16</f>
        <v>0</v>
      </c>
      <c r="H16" s="49">
        <f>+SUM($D$6:D17)*1000000/SUM($C$6:C17)</f>
        <v>0</v>
      </c>
      <c r="I16" s="49">
        <f t="shared" si="1"/>
        <v>0</v>
      </c>
      <c r="J16" s="46">
        <f>+AVERAGE($D$6:D17)</f>
        <v>0</v>
      </c>
      <c r="K16" s="43" t="str">
        <f t="shared" si="2"/>
        <v>Sin eventos registrados</v>
      </c>
    </row>
    <row r="17" spans="1:12">
      <c r="A17" s="4">
        <v>45992</v>
      </c>
      <c r="B17" s="5">
        <v>8</v>
      </c>
      <c r="C17" s="5">
        <f t="shared" si="5"/>
        <v>1600</v>
      </c>
      <c r="D17" s="5">
        <v>0</v>
      </c>
      <c r="E17" s="5">
        <v>0</v>
      </c>
      <c r="F17" s="26">
        <f t="shared" si="3"/>
        <v>0</v>
      </c>
      <c r="G17" s="37">
        <f t="shared" si="4"/>
        <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SUM(B6:B17)/12</f>
        <v>5</v>
      </c>
      <c r="C19" s="5">
        <f>SUM(C6:C17)</f>
        <v>15192</v>
      </c>
      <c r="D19" s="5">
        <f>SUM(D6:D17)</f>
        <v>0</v>
      </c>
      <c r="E19" s="10">
        <f>SUM(E6:E17)</f>
        <v>0</v>
      </c>
      <c r="F19" s="5">
        <f>D19*1000/B19</f>
        <v>0</v>
      </c>
    </row>
    <row r="20" spans="1:12">
      <c r="A20" s="2"/>
    </row>
    <row r="21" spans="1:12">
      <c r="A21" s="2"/>
      <c r="H21" s="74"/>
      <c r="I21" s="74"/>
      <c r="J21" s="75"/>
      <c r="K21" s="75"/>
      <c r="L21" s="75"/>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45">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45">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347</v>
      </c>
      <c r="F58" s="27"/>
    </row>
    <row r="59" spans="5:6">
      <c r="F59" s="27"/>
    </row>
  </sheetData>
  <mergeCells count="5">
    <mergeCell ref="F22:F23"/>
    <mergeCell ref="F25:F26"/>
    <mergeCell ref="F28:F29"/>
    <mergeCell ref="A31:F31"/>
    <mergeCell ref="A32:F32"/>
  </mergeCells>
  <phoneticPr fontId="0" type="noConversion"/>
  <printOptions horizontalCentered="1"/>
  <pageMargins left="0.98425196850393704" right="0.59055118110236227" top="0.59055118110236227" bottom="0.59055118110236227" header="0" footer="0"/>
  <pageSetup paperSize="9" scale="85"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1"/>
    <pageSetUpPr fitToPage="1"/>
  </sheetPr>
  <dimension ref="A1:R59"/>
  <sheetViews>
    <sheetView topLeftCell="A6" workbookViewId="0">
      <selection activeCell="C17" sqref="C17"/>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28515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26</v>
      </c>
      <c r="C2" s="9"/>
      <c r="F2" s="11"/>
      <c r="P2" s="1"/>
      <c r="Q2" s="9"/>
      <c r="R2" s="12"/>
    </row>
    <row r="3" spans="1:18" ht="21" customHeight="1">
      <c r="C3" s="9" t="s">
        <v>314</v>
      </c>
      <c r="H3" s="47" t="s">
        <v>315</v>
      </c>
      <c r="I3" s="47"/>
      <c r="K3" s="47" t="s">
        <v>315</v>
      </c>
    </row>
    <row r="4" spans="1:18" ht="6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2</v>
      </c>
      <c r="C6" s="5">
        <f>B6*200</f>
        <v>400</v>
      </c>
      <c r="D6" s="5">
        <v>0</v>
      </c>
      <c r="E6" s="5">
        <v>0</v>
      </c>
      <c r="F6" s="5">
        <f t="shared" ref="F6:F17" si="0">D6*1000/B6*12</f>
        <v>0</v>
      </c>
      <c r="G6" s="37">
        <f>D6*1000000/C6</f>
        <v>0</v>
      </c>
      <c r="H6" s="49">
        <f>+D7*1000000/C7</f>
        <v>0</v>
      </c>
      <c r="I6" s="49">
        <f>+H6/1000</f>
        <v>0</v>
      </c>
      <c r="J6" s="46">
        <f>+AVERAGE($D$6:D7)</f>
        <v>0</v>
      </c>
      <c r="K6" s="43" t="str">
        <f>+IF(J6=0,"Sin eventos registrados",30/J6)</f>
        <v>Sin eventos registrados</v>
      </c>
    </row>
    <row r="7" spans="1:18">
      <c r="A7" s="4">
        <v>45689</v>
      </c>
      <c r="B7" s="5">
        <v>2</v>
      </c>
      <c r="C7" s="5">
        <f>B7*200</f>
        <v>400</v>
      </c>
      <c r="D7" s="5">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45717</v>
      </c>
      <c r="B8" s="5">
        <v>2</v>
      </c>
      <c r="C8" s="5">
        <f t="shared" ref="C8:C17" si="3">B8*200</f>
        <v>400</v>
      </c>
      <c r="D8" s="5">
        <v>0</v>
      </c>
      <c r="E8" s="5">
        <v>0</v>
      </c>
      <c r="F8" s="5">
        <f t="shared" si="0"/>
        <v>0</v>
      </c>
      <c r="G8" s="37">
        <f>D8*1000000/C8</f>
        <v>0</v>
      </c>
      <c r="H8" s="49">
        <f>+SUM($D$6:D9)*1000000/SUM($C$6:C9)</f>
        <v>0</v>
      </c>
      <c r="I8" s="49">
        <f t="shared" si="1"/>
        <v>0</v>
      </c>
      <c r="J8" s="46">
        <f>+AVERAGE($D$6:D9)</f>
        <v>0</v>
      </c>
      <c r="K8" s="43" t="str">
        <f t="shared" si="2"/>
        <v>Sin eventos registrados</v>
      </c>
    </row>
    <row r="9" spans="1:18">
      <c r="A9" s="4">
        <v>45748</v>
      </c>
      <c r="B9" s="5">
        <v>2</v>
      </c>
      <c r="C9" s="5">
        <f t="shared" si="3"/>
        <v>400</v>
      </c>
      <c r="D9" s="5">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45778</v>
      </c>
      <c r="B10" s="5">
        <v>2</v>
      </c>
      <c r="C10" s="5">
        <f t="shared" si="3"/>
        <v>400</v>
      </c>
      <c r="D10" s="5">
        <v>0</v>
      </c>
      <c r="E10" s="5">
        <v>0</v>
      </c>
      <c r="F10" s="5">
        <f t="shared" si="0"/>
        <v>0</v>
      </c>
      <c r="G10" s="37">
        <f t="shared" ref="G10:G17" si="4">D10*1000000/C10</f>
        <v>0</v>
      </c>
      <c r="H10" s="49">
        <f>+SUM($D$6:D11)*1000000/SUM($C$6:C11)</f>
        <v>0</v>
      </c>
      <c r="I10" s="49">
        <f t="shared" si="1"/>
        <v>0</v>
      </c>
      <c r="J10" s="46">
        <f>+AVERAGE($D$6:D11)</f>
        <v>0</v>
      </c>
      <c r="K10" s="43" t="str">
        <f>+IF(J10=0,"Sin eventos registrados",30/J10)</f>
        <v>Sin eventos registrados</v>
      </c>
    </row>
    <row r="11" spans="1:18">
      <c r="A11" s="4">
        <v>45809</v>
      </c>
      <c r="B11" s="5">
        <v>2</v>
      </c>
      <c r="C11" s="5">
        <f t="shared" si="3"/>
        <v>400</v>
      </c>
      <c r="D11" s="5">
        <v>0</v>
      </c>
      <c r="E11" s="5">
        <v>0</v>
      </c>
      <c r="F11" s="5">
        <f t="shared" si="0"/>
        <v>0</v>
      </c>
      <c r="G11" s="37">
        <f>D11*1000000/C11</f>
        <v>0</v>
      </c>
      <c r="H11" s="49">
        <f>+SUM($D$6:D12)*1000000/SUM($C$6:C12)</f>
        <v>0</v>
      </c>
      <c r="I11" s="49">
        <f t="shared" si="1"/>
        <v>0</v>
      </c>
      <c r="J11" s="46">
        <f>+AVERAGE($D$6:D12)</f>
        <v>0</v>
      </c>
      <c r="K11" s="43" t="str">
        <f t="shared" si="2"/>
        <v>Sin eventos registrados</v>
      </c>
    </row>
    <row r="12" spans="1:18">
      <c r="A12" s="4">
        <v>45839</v>
      </c>
      <c r="B12" s="5">
        <v>2</v>
      </c>
      <c r="C12" s="5">
        <f t="shared" si="3"/>
        <v>400</v>
      </c>
      <c r="D12" s="5">
        <v>0</v>
      </c>
      <c r="E12" s="5">
        <v>0</v>
      </c>
      <c r="F12" s="5">
        <f>D12*1000/B12</f>
        <v>0</v>
      </c>
      <c r="G12" s="37">
        <f>D12*1000000/C12</f>
        <v>0</v>
      </c>
      <c r="H12" s="49">
        <f>+SUM($D$6:D13)*1000000/SUM($C$6:C13)</f>
        <v>0</v>
      </c>
      <c r="I12" s="49">
        <f t="shared" si="1"/>
        <v>0</v>
      </c>
      <c r="J12" s="46">
        <f>+AVERAGE($D$6:D13)</f>
        <v>0</v>
      </c>
      <c r="K12" s="43" t="str">
        <f t="shared" si="2"/>
        <v>Sin eventos registrados</v>
      </c>
    </row>
    <row r="13" spans="1:18">
      <c r="A13" s="4">
        <v>45870</v>
      </c>
      <c r="B13" s="5">
        <v>2</v>
      </c>
      <c r="C13" s="5">
        <f t="shared" si="3"/>
        <v>400</v>
      </c>
      <c r="D13" s="5">
        <v>0</v>
      </c>
      <c r="E13" s="5">
        <v>0</v>
      </c>
      <c r="F13" s="5">
        <f>D13*1000/B13*12</f>
        <v>0</v>
      </c>
      <c r="G13" s="37">
        <f t="shared" si="4"/>
        <v>0</v>
      </c>
      <c r="H13" s="49">
        <f>+SUM($D$6:D14)*1000000/SUM($C$6:C14)</f>
        <v>0</v>
      </c>
      <c r="I13" s="49">
        <f>+H13/1000</f>
        <v>0</v>
      </c>
      <c r="J13" s="46">
        <f>+AVERAGE($D$6:D14)</f>
        <v>0</v>
      </c>
      <c r="K13" s="43" t="str">
        <f t="shared" si="2"/>
        <v>Sin eventos registrados</v>
      </c>
    </row>
    <row r="14" spans="1:18">
      <c r="A14" s="4">
        <v>45901</v>
      </c>
      <c r="B14" s="5">
        <v>2</v>
      </c>
      <c r="C14" s="5">
        <f t="shared" si="3"/>
        <v>400</v>
      </c>
      <c r="D14" s="5">
        <v>0</v>
      </c>
      <c r="E14" s="5">
        <v>0</v>
      </c>
      <c r="F14" s="5">
        <f t="shared" si="0"/>
        <v>0</v>
      </c>
      <c r="G14" s="37">
        <f t="shared" si="4"/>
        <v>0</v>
      </c>
      <c r="H14" s="49">
        <f>+SUM($D$6:D15)*1000000/SUM($C$6:C15)</f>
        <v>0</v>
      </c>
      <c r="I14" s="49">
        <f t="shared" si="1"/>
        <v>0</v>
      </c>
      <c r="J14" s="46">
        <f>+AVERAGE($D$6:D15)</f>
        <v>0</v>
      </c>
      <c r="K14" s="43" t="str">
        <f t="shared" si="2"/>
        <v>Sin eventos registrados</v>
      </c>
    </row>
    <row r="15" spans="1:18">
      <c r="A15" s="4">
        <v>45931</v>
      </c>
      <c r="B15" s="5">
        <v>2</v>
      </c>
      <c r="C15" s="5">
        <f t="shared" si="3"/>
        <v>400</v>
      </c>
      <c r="D15" s="5">
        <v>0</v>
      </c>
      <c r="E15" s="5">
        <v>0</v>
      </c>
      <c r="F15" s="5">
        <f t="shared" si="0"/>
        <v>0</v>
      </c>
      <c r="G15" s="37">
        <f t="shared" si="4"/>
        <v>0</v>
      </c>
      <c r="H15" s="49">
        <f>+SUM($D$6:D16)*1000000/SUM($C$6:C16)</f>
        <v>0</v>
      </c>
      <c r="I15" s="49">
        <f t="shared" si="1"/>
        <v>0</v>
      </c>
      <c r="J15" s="46">
        <f>+AVERAGE($D$6:D16)</f>
        <v>0</v>
      </c>
      <c r="K15" s="43" t="str">
        <f t="shared" si="2"/>
        <v>Sin eventos registrados</v>
      </c>
    </row>
    <row r="16" spans="1:18">
      <c r="A16" s="4">
        <v>45962</v>
      </c>
      <c r="B16" s="5">
        <v>2</v>
      </c>
      <c r="C16" s="5">
        <f t="shared" si="3"/>
        <v>400</v>
      </c>
      <c r="D16" s="5">
        <v>0</v>
      </c>
      <c r="E16" s="5">
        <v>0</v>
      </c>
      <c r="F16" s="5">
        <f t="shared" si="0"/>
        <v>0</v>
      </c>
      <c r="G16" s="37">
        <f t="shared" si="4"/>
        <v>0</v>
      </c>
      <c r="H16" s="49">
        <f>+SUM($D$6:D17)*1000000/SUM($C$6:C17)</f>
        <v>0</v>
      </c>
      <c r="I16" s="49">
        <f t="shared" si="1"/>
        <v>0</v>
      </c>
      <c r="J16" s="46">
        <f>+AVERAGE($D$6:D17)</f>
        <v>0</v>
      </c>
      <c r="K16" s="43" t="str">
        <f t="shared" si="2"/>
        <v>Sin eventos registrados</v>
      </c>
    </row>
    <row r="17" spans="1:12">
      <c r="A17" s="4">
        <v>45992</v>
      </c>
      <c r="B17" s="5">
        <v>2</v>
      </c>
      <c r="C17" s="5">
        <f t="shared" si="3"/>
        <v>400</v>
      </c>
      <c r="D17" s="5">
        <v>0</v>
      </c>
      <c r="E17" s="5">
        <v>0</v>
      </c>
      <c r="F17" s="5">
        <f t="shared" si="0"/>
        <v>0</v>
      </c>
      <c r="G17" s="37">
        <f t="shared" si="4"/>
        <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SUM(B6:B17)/12</f>
        <v>2</v>
      </c>
      <c r="C19" s="5">
        <f>SUM(C6:C17)</f>
        <v>4800</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4"/>
      <c r="K22" s="74"/>
      <c r="L22" s="74"/>
    </row>
    <row r="23" spans="1:12" ht="20.45">
      <c r="A23" s="16"/>
      <c r="B23" s="6"/>
      <c r="C23" s="8" t="s">
        <v>331</v>
      </c>
      <c r="D23" s="18"/>
      <c r="E23" s="21"/>
      <c r="F23" s="215"/>
      <c r="H23" s="74"/>
      <c r="I23" s="74"/>
      <c r="J23" s="74"/>
      <c r="K23" s="74"/>
      <c r="L23" s="74"/>
    </row>
    <row r="24" spans="1:12" ht="20.45">
      <c r="A24" s="17"/>
      <c r="C24" s="2"/>
      <c r="D24" s="19"/>
      <c r="E24" s="22"/>
      <c r="F24" s="24"/>
      <c r="H24" s="74"/>
      <c r="I24" s="74"/>
      <c r="J24" s="74"/>
      <c r="K24" s="74"/>
      <c r="L24" s="74"/>
    </row>
    <row r="25" spans="1:12" ht="20.25" customHeight="1">
      <c r="A25" s="16" t="s">
        <v>332</v>
      </c>
      <c r="B25" s="6"/>
      <c r="C25" s="7" t="s">
        <v>333</v>
      </c>
      <c r="D25" s="18" t="s">
        <v>329</v>
      </c>
      <c r="E25" s="20">
        <f>D19*1000000/C19</f>
        <v>0</v>
      </c>
      <c r="F25" s="215" t="s">
        <v>334</v>
      </c>
      <c r="H25" s="74"/>
      <c r="I25" s="74"/>
      <c r="J25" s="74"/>
      <c r="K25" s="74"/>
      <c r="L25" s="74"/>
    </row>
    <row r="26" spans="1:12" ht="20.45">
      <c r="A26" s="16"/>
      <c r="B26" s="6"/>
      <c r="C26" s="8" t="s">
        <v>335</v>
      </c>
      <c r="D26" s="18"/>
      <c r="E26" s="21"/>
      <c r="F26" s="215"/>
      <c r="H26" s="74"/>
      <c r="I26" s="74"/>
      <c r="J26" s="74"/>
      <c r="K26" s="74"/>
      <c r="L26" s="74"/>
    </row>
    <row r="27" spans="1:12" ht="20.45">
      <c r="A27" s="17"/>
      <c r="D27" s="19"/>
      <c r="E27" s="22"/>
      <c r="F27" s="24"/>
      <c r="H27" s="74"/>
      <c r="I27" s="74"/>
      <c r="J27" s="74"/>
      <c r="K27" s="74"/>
      <c r="L27" s="74"/>
    </row>
    <row r="28" spans="1:12" ht="20.25" customHeight="1">
      <c r="A28" s="16" t="s">
        <v>336</v>
      </c>
      <c r="B28" s="6"/>
      <c r="C28" s="7" t="s">
        <v>319</v>
      </c>
      <c r="D28" s="18" t="s">
        <v>329</v>
      </c>
      <c r="E28" s="23">
        <f>E19/B19</f>
        <v>0</v>
      </c>
      <c r="F28" s="215" t="s">
        <v>337</v>
      </c>
      <c r="H28" s="74"/>
      <c r="I28" s="74"/>
      <c r="J28" s="74"/>
      <c r="K28" s="74"/>
      <c r="L28" s="74"/>
    </row>
    <row r="29" spans="1:12" ht="20.45">
      <c r="A29" s="16" t="s">
        <v>338</v>
      </c>
      <c r="B29" s="6"/>
      <c r="C29" s="8" t="s">
        <v>331</v>
      </c>
      <c r="D29" s="18"/>
      <c r="E29" s="21"/>
      <c r="F29" s="215"/>
      <c r="H29" s="74"/>
      <c r="I29" s="74"/>
      <c r="J29" s="74"/>
      <c r="K29" s="74"/>
      <c r="L29" s="74"/>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80D1-9507-4C9B-B8D4-DDC410A19790}">
  <sheetPr>
    <tabColor theme="1"/>
    <pageSetUpPr fitToPage="1"/>
  </sheetPr>
  <dimension ref="A1:R59"/>
  <sheetViews>
    <sheetView topLeftCell="A10" workbookViewId="0">
      <selection activeCell="D15" sqref="D15"/>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5">
      <c r="A2" s="14" t="s">
        <v>348</v>
      </c>
      <c r="C2" s="9"/>
      <c r="F2" s="11"/>
      <c r="P2" s="1"/>
      <c r="Q2" s="9"/>
      <c r="R2" s="12"/>
    </row>
    <row r="3" spans="1:18" ht="21" customHeight="1">
      <c r="C3" s="9" t="s">
        <v>314</v>
      </c>
      <c r="H3" s="47" t="s">
        <v>315</v>
      </c>
      <c r="I3" s="47"/>
      <c r="K3" s="47" t="s">
        <v>315</v>
      </c>
    </row>
    <row r="4" spans="1:18" ht="104.25">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0</v>
      </c>
      <c r="C6" s="41">
        <f>B6*200</f>
        <v>0</v>
      </c>
      <c r="D6" s="203">
        <v>0</v>
      </c>
      <c r="E6" s="5">
        <v>0</v>
      </c>
      <c r="F6" s="38" t="e">
        <f>D6*1000/B6*12</f>
        <v>#DIV/0!</v>
      </c>
      <c r="G6" s="37" t="e">
        <f>D6*1000000/C6</f>
        <v>#DIV/0!</v>
      </c>
      <c r="H6" s="49" t="e">
        <f>+D7*1000000/C7</f>
        <v>#DIV/0!</v>
      </c>
      <c r="I6" s="49" t="e">
        <f>+H6/1000</f>
        <v>#DIV/0!</v>
      </c>
      <c r="J6" s="46">
        <f>+AVERAGE($D$6:D7)</f>
        <v>0</v>
      </c>
      <c r="K6" s="43" t="str">
        <f>+IF(J6=0,"Sin eventos registrados",30/J6)</f>
        <v>Sin eventos registrados</v>
      </c>
    </row>
    <row r="7" spans="1:18">
      <c r="A7" s="4">
        <v>45689</v>
      </c>
      <c r="B7" s="5">
        <v>0</v>
      </c>
      <c r="C7" s="41">
        <f>B7*200</f>
        <v>0</v>
      </c>
      <c r="D7" s="203">
        <v>0</v>
      </c>
      <c r="E7" s="5">
        <v>0</v>
      </c>
      <c r="F7" s="38" t="e">
        <f t="shared" ref="F7:F17" si="0">D7*1000/B7*12</f>
        <v>#DIV/0!</v>
      </c>
      <c r="G7" s="37" t="e">
        <f>D7*1000000/C7</f>
        <v>#DIV/0!</v>
      </c>
      <c r="H7" s="49" t="e">
        <f>+SUM($D$6:D8)*1000000/SUM($C$6:C8)</f>
        <v>#DIV/0!</v>
      </c>
      <c r="I7" s="49" t="e">
        <f t="shared" ref="I7:I17" si="1">+H7/1000</f>
        <v>#DIV/0!</v>
      </c>
      <c r="J7" s="46">
        <f>+AVERAGE($D$6:D8)</f>
        <v>0</v>
      </c>
      <c r="K7" s="43" t="str">
        <f t="shared" ref="K7:K17" si="2">+IF(J7=0,"Sin eventos registrados",30/J7)</f>
        <v>Sin eventos registrados</v>
      </c>
    </row>
    <row r="8" spans="1:18">
      <c r="A8" s="4">
        <v>45717</v>
      </c>
      <c r="B8" s="5">
        <v>0</v>
      </c>
      <c r="C8" s="41">
        <f>B8*2000</f>
        <v>0</v>
      </c>
      <c r="D8" s="203">
        <v>0</v>
      </c>
      <c r="E8" s="5">
        <v>0</v>
      </c>
      <c r="F8" s="38" t="e">
        <f t="shared" si="0"/>
        <v>#DIV/0!</v>
      </c>
      <c r="G8" s="37" t="e">
        <f>D8*1000000/C8</f>
        <v>#DIV/0!</v>
      </c>
      <c r="H8" s="49" t="e">
        <f>+SUM($D$6:D9)*1000000/SUM($C$6:C9)</f>
        <v>#DIV/0!</v>
      </c>
      <c r="I8" s="49" t="e">
        <f t="shared" si="1"/>
        <v>#DIV/0!</v>
      </c>
      <c r="J8" s="46">
        <f>+AVERAGE($D$6:D9)</f>
        <v>0</v>
      </c>
      <c r="K8" s="43" t="str">
        <f t="shared" si="2"/>
        <v>Sin eventos registrados</v>
      </c>
    </row>
    <row r="9" spans="1:18">
      <c r="A9" s="4">
        <v>45748</v>
      </c>
      <c r="B9" s="5">
        <v>0</v>
      </c>
      <c r="C9" s="41">
        <f>B9*2000</f>
        <v>0</v>
      </c>
      <c r="D9" s="203">
        <v>0</v>
      </c>
      <c r="E9" s="5">
        <v>0</v>
      </c>
      <c r="F9" s="38" t="e">
        <f t="shared" si="0"/>
        <v>#DIV/0!</v>
      </c>
      <c r="G9" s="37" t="e">
        <f>D9*1000000/C9</f>
        <v>#DIV/0!</v>
      </c>
      <c r="H9" s="49" t="e">
        <f>+SUM($D$6:D10)*1000000/SUM($C$6:C10)</f>
        <v>#DIV/0!</v>
      </c>
      <c r="I9" s="49" t="e">
        <f>+H9/1000</f>
        <v>#DIV/0!</v>
      </c>
      <c r="J9" s="46">
        <f>+AVERAGE($D$6:D10)</f>
        <v>0</v>
      </c>
      <c r="K9" s="43" t="str">
        <f>+IF(J9=0,"Sin eventos registrados",30/J9)</f>
        <v>Sin eventos registrados</v>
      </c>
    </row>
    <row r="10" spans="1:18">
      <c r="A10" s="4">
        <v>45778</v>
      </c>
      <c r="B10" s="5">
        <v>0</v>
      </c>
      <c r="C10" s="41">
        <f t="shared" ref="C10:C17" si="3">B10*8*22</f>
        <v>0</v>
      </c>
      <c r="D10" s="203">
        <v>0</v>
      </c>
      <c r="E10" s="5">
        <v>0</v>
      </c>
      <c r="F10" s="38" t="e">
        <f t="shared" si="0"/>
        <v>#DIV/0!</v>
      </c>
      <c r="G10" s="37" t="e">
        <f t="shared" ref="G10:G17" si="4">D10*1000000/C10</f>
        <v>#DIV/0!</v>
      </c>
      <c r="H10" s="49" t="e">
        <f>+SUM($D$6:D11)*1000000/SUM($C$6:C11)</f>
        <v>#DIV/0!</v>
      </c>
      <c r="I10" s="49" t="e">
        <f t="shared" si="1"/>
        <v>#DIV/0!</v>
      </c>
      <c r="J10" s="46">
        <f>+AVERAGE($D$6:D11)</f>
        <v>0</v>
      </c>
      <c r="K10" s="43" t="str">
        <f>+IF(J10=0,"Sin eventos registrados",30/J10)</f>
        <v>Sin eventos registrados</v>
      </c>
    </row>
    <row r="11" spans="1:18">
      <c r="A11" s="4">
        <v>45809</v>
      </c>
      <c r="B11" s="5">
        <v>0</v>
      </c>
      <c r="C11" s="41">
        <f t="shared" si="3"/>
        <v>0</v>
      </c>
      <c r="D11" s="203">
        <v>0</v>
      </c>
      <c r="E11" s="5">
        <v>0</v>
      </c>
      <c r="F11" s="38" t="e">
        <f>D11*1000/B11</f>
        <v>#DIV/0!</v>
      </c>
      <c r="G11" s="37" t="e">
        <f>D11*1000000/C11</f>
        <v>#DIV/0!</v>
      </c>
      <c r="H11" s="49" t="e">
        <f>+SUM($D$6:D12)*1000000/SUM($C$6:C12)</f>
        <v>#DIV/0!</v>
      </c>
      <c r="I11" s="49" t="e">
        <f t="shared" si="1"/>
        <v>#DIV/0!</v>
      </c>
      <c r="J11" s="46">
        <f>+AVERAGE($D$6:D12)</f>
        <v>0</v>
      </c>
      <c r="K11" s="43" t="str">
        <f t="shared" si="2"/>
        <v>Sin eventos registrados</v>
      </c>
    </row>
    <row r="12" spans="1:18">
      <c r="A12" s="4">
        <v>45839</v>
      </c>
      <c r="B12" s="5">
        <v>0</v>
      </c>
      <c r="C12" s="41">
        <f t="shared" si="3"/>
        <v>0</v>
      </c>
      <c r="D12" s="203">
        <v>0</v>
      </c>
      <c r="E12" s="5">
        <v>0</v>
      </c>
      <c r="F12" s="38" t="e">
        <f>D12*1000/B12*12</f>
        <v>#DIV/0!</v>
      </c>
      <c r="G12" s="37" t="e">
        <f t="shared" si="4"/>
        <v>#DIV/0!</v>
      </c>
      <c r="H12" s="49" t="e">
        <f>+SUM($D$6:D13)*1000000/SUM($C$6:C13)</f>
        <v>#DIV/0!</v>
      </c>
      <c r="I12" s="49" t="e">
        <f t="shared" si="1"/>
        <v>#DIV/0!</v>
      </c>
      <c r="J12" s="46">
        <f>+AVERAGE($D$6:D13)</f>
        <v>0</v>
      </c>
      <c r="K12" s="43" t="str">
        <f t="shared" si="2"/>
        <v>Sin eventos registrados</v>
      </c>
    </row>
    <row r="13" spans="1:18">
      <c r="A13" s="4">
        <v>45870</v>
      </c>
      <c r="B13" s="5">
        <v>0</v>
      </c>
      <c r="C13" s="41">
        <f>B13*200</f>
        <v>0</v>
      </c>
      <c r="D13" s="203">
        <v>0</v>
      </c>
      <c r="E13" s="5">
        <v>0</v>
      </c>
      <c r="F13" s="38" t="e">
        <f t="shared" si="0"/>
        <v>#DIV/0!</v>
      </c>
      <c r="G13" s="37" t="e">
        <f t="shared" si="4"/>
        <v>#DIV/0!</v>
      </c>
      <c r="H13" s="49" t="e">
        <f>+SUM($D$6:D14)*1000000/SUM($C$6:C14)</f>
        <v>#DIV/0!</v>
      </c>
      <c r="I13" s="49" t="e">
        <f>+H13/1000</f>
        <v>#DIV/0!</v>
      </c>
      <c r="J13" s="46">
        <f>+AVERAGE($D$6:D14)</f>
        <v>0</v>
      </c>
      <c r="K13" s="43" t="str">
        <f t="shared" si="2"/>
        <v>Sin eventos registrados</v>
      </c>
    </row>
    <row r="14" spans="1:18">
      <c r="A14" s="4">
        <v>45901</v>
      </c>
      <c r="B14" s="5">
        <v>0</v>
      </c>
      <c r="C14" s="41">
        <f t="shared" ref="C14:C15" si="5">B14*200</f>
        <v>0</v>
      </c>
      <c r="D14" s="203">
        <v>0</v>
      </c>
      <c r="E14" s="5">
        <v>0</v>
      </c>
      <c r="F14" s="38" t="e">
        <f t="shared" si="0"/>
        <v>#DIV/0!</v>
      </c>
      <c r="G14" s="37" t="e">
        <f t="shared" si="4"/>
        <v>#DIV/0!</v>
      </c>
      <c r="H14" s="49">
        <f>+SUM($D$6:D15)*1000000/SUM($C$6:C15)</f>
        <v>0</v>
      </c>
      <c r="I14" s="49">
        <f t="shared" si="1"/>
        <v>0</v>
      </c>
      <c r="J14" s="46">
        <f>+AVERAGE($D$6:D15)</f>
        <v>0</v>
      </c>
      <c r="K14" s="43" t="str">
        <f t="shared" si="2"/>
        <v>Sin eventos registrados</v>
      </c>
    </row>
    <row r="15" spans="1:18">
      <c r="A15" s="4">
        <v>45931</v>
      </c>
      <c r="B15" s="5">
        <v>47</v>
      </c>
      <c r="C15" s="41">
        <f t="shared" si="5"/>
        <v>9400</v>
      </c>
      <c r="D15" s="203">
        <v>0</v>
      </c>
      <c r="E15" s="5">
        <v>0</v>
      </c>
      <c r="F15" s="38">
        <f t="shared" si="0"/>
        <v>0</v>
      </c>
      <c r="G15" s="37">
        <f t="shared" si="4"/>
        <v>0</v>
      </c>
      <c r="H15" s="49">
        <f>+SUM($D$6:D16)*1000000/SUM($C$6:C16)</f>
        <v>42.58943781942078</v>
      </c>
      <c r="I15" s="49">
        <f t="shared" si="1"/>
        <v>4.2589437819420782E-2</v>
      </c>
      <c r="J15" s="46">
        <f>+AVERAGE($D$6:D16)</f>
        <v>9.0909090909090912E-2</v>
      </c>
      <c r="K15" s="43">
        <f t="shared" si="2"/>
        <v>330</v>
      </c>
    </row>
    <row r="16" spans="1:18">
      <c r="A16" s="4">
        <v>45962</v>
      </c>
      <c r="B16" s="5">
        <v>80</v>
      </c>
      <c r="C16" s="41">
        <f t="shared" si="3"/>
        <v>14080</v>
      </c>
      <c r="D16" s="5">
        <v>1</v>
      </c>
      <c r="E16" s="5">
        <v>9</v>
      </c>
      <c r="F16" s="38">
        <f t="shared" si="0"/>
        <v>150</v>
      </c>
      <c r="G16" s="37">
        <f t="shared" si="4"/>
        <v>71.022727272727266</v>
      </c>
      <c r="H16" s="49">
        <f>+SUM($D$6:D17)*1000000/SUM($C$6:C17)</f>
        <v>27.796308650211252</v>
      </c>
      <c r="I16" s="49">
        <f t="shared" si="1"/>
        <v>2.7796308650211252E-2</v>
      </c>
      <c r="J16" s="46">
        <f>+AVERAGE($D$6:D17)</f>
        <v>8.3333333333333329E-2</v>
      </c>
      <c r="K16" s="43">
        <f t="shared" si="2"/>
        <v>360</v>
      </c>
    </row>
    <row r="17" spans="1:12">
      <c r="A17" s="4">
        <v>45992</v>
      </c>
      <c r="B17" s="5">
        <v>71</v>
      </c>
      <c r="C17" s="41">
        <f t="shared" si="3"/>
        <v>12496</v>
      </c>
      <c r="D17" s="5">
        <v>0</v>
      </c>
      <c r="E17" s="5">
        <v>0</v>
      </c>
      <c r="F17" s="38">
        <f t="shared" si="0"/>
        <v>0</v>
      </c>
      <c r="G17" s="37">
        <f t="shared" si="4"/>
        <v>0</v>
      </c>
      <c r="H17" s="49">
        <f>+SUM($D$6:D18)*1000000/SUM($C$6:C18)</f>
        <v>27.796308650211252</v>
      </c>
      <c r="I17" s="49">
        <f t="shared" si="1"/>
        <v>2.7796308650211252E-2</v>
      </c>
      <c r="J17" s="46">
        <f>+AVERAGE($D$6:D18)</f>
        <v>8.3333333333333329E-2</v>
      </c>
      <c r="K17" s="43">
        <f t="shared" si="2"/>
        <v>360</v>
      </c>
    </row>
    <row r="18" spans="1:12">
      <c r="A18" s="4"/>
      <c r="B18" s="5"/>
      <c r="C18" s="5"/>
      <c r="D18" s="5"/>
      <c r="E18" s="5"/>
      <c r="F18" s="38"/>
      <c r="G18" s="37"/>
    </row>
    <row r="19" spans="1:12">
      <c r="A19" s="3" t="s">
        <v>326</v>
      </c>
      <c r="B19" s="5">
        <f>SUM(B6:B17)/12</f>
        <v>16.5</v>
      </c>
      <c r="C19" s="5">
        <f>SUM(C6:C17)</f>
        <v>35976</v>
      </c>
      <c r="D19" s="5">
        <f>SUM(D6:D17)</f>
        <v>1</v>
      </c>
      <c r="E19" s="10">
        <f>SUM(E6:E17)</f>
        <v>9</v>
      </c>
      <c r="F19" s="38">
        <f>D19*1000/B19</f>
        <v>60.606060606060609</v>
      </c>
      <c r="G19" s="37"/>
    </row>
    <row r="20" spans="1:12">
      <c r="A20" s="2"/>
    </row>
    <row r="21" spans="1:12">
      <c r="A21" s="2"/>
      <c r="I21" s="74"/>
      <c r="J21" s="74"/>
      <c r="K21" s="74"/>
    </row>
    <row r="22" spans="1:12" ht="18" customHeight="1">
      <c r="A22" s="16" t="s">
        <v>327</v>
      </c>
      <c r="B22" s="6"/>
      <c r="C22" s="7" t="s">
        <v>328</v>
      </c>
      <c r="D22" s="18" t="s">
        <v>329</v>
      </c>
      <c r="E22" s="20">
        <f>D19*1000/B19</f>
        <v>60.606060606060609</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27.796308650211252</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0.54545454545454541</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EC1B2-7C0C-4DAB-99A4-A66AEC97D00A}">
  <sheetPr>
    <tabColor theme="1"/>
    <pageSetUpPr fitToPage="1"/>
  </sheetPr>
  <dimension ref="A1:R59"/>
  <sheetViews>
    <sheetView topLeftCell="A4" workbookViewId="0">
      <selection activeCell="K6" sqref="K6:K12"/>
    </sheetView>
  </sheetViews>
  <sheetFormatPr defaultColWidth="11.42578125" defaultRowHeight="12.7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5">
      <c r="A2" s="14" t="s">
        <v>297</v>
      </c>
      <c r="C2" s="9"/>
      <c r="F2" s="11"/>
      <c r="P2" s="1"/>
      <c r="Q2" s="9"/>
      <c r="R2" s="12"/>
    </row>
    <row r="3" spans="1:18" ht="21" customHeight="1">
      <c r="C3" s="9" t="s">
        <v>314</v>
      </c>
      <c r="H3" s="47" t="s">
        <v>315</v>
      </c>
      <c r="I3" s="47"/>
      <c r="K3" s="47" t="s">
        <v>315</v>
      </c>
    </row>
    <row r="4" spans="1:18" ht="104.25">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0</v>
      </c>
      <c r="C6" s="41">
        <f>B6*200</f>
        <v>0</v>
      </c>
      <c r="D6" s="203">
        <v>0</v>
      </c>
      <c r="E6" s="5">
        <v>0</v>
      </c>
      <c r="F6" s="38" t="e">
        <f>D6*1000/B6*12</f>
        <v>#DIV/0!</v>
      </c>
      <c r="G6" s="37" t="e">
        <f>D6*1000000/C6</f>
        <v>#DIV/0!</v>
      </c>
      <c r="H6" s="49" t="e">
        <f>+D7*1000000/C7</f>
        <v>#DIV/0!</v>
      </c>
      <c r="I6" s="49" t="e">
        <f>+H6/1000</f>
        <v>#DIV/0!</v>
      </c>
      <c r="J6" s="46">
        <f>+AVERAGE($D$6:D7)</f>
        <v>0</v>
      </c>
      <c r="K6" s="43" t="str">
        <f>+IF(J6=0,"Sin eventos registrados",30/J6)</f>
        <v>Sin eventos registrados</v>
      </c>
    </row>
    <row r="7" spans="1:18">
      <c r="A7" s="4">
        <v>45689</v>
      </c>
      <c r="B7" s="5">
        <v>0</v>
      </c>
      <c r="C7" s="41">
        <f>B7*200</f>
        <v>0</v>
      </c>
      <c r="D7" s="203">
        <v>0</v>
      </c>
      <c r="E7" s="5">
        <v>0</v>
      </c>
      <c r="F7" s="38" t="e">
        <f t="shared" ref="F7:F17" si="0">D7*1000/B7*12</f>
        <v>#DIV/0!</v>
      </c>
      <c r="G7" s="37" t="e">
        <f>D7*1000000/C7</f>
        <v>#DIV/0!</v>
      </c>
      <c r="H7" s="49" t="e">
        <f>+SUM($D$6:D8)*1000000/SUM($C$6:C8)</f>
        <v>#DIV/0!</v>
      </c>
      <c r="I7" s="49" t="e">
        <f t="shared" ref="I7:I17" si="1">+H7/1000</f>
        <v>#DIV/0!</v>
      </c>
      <c r="J7" s="46">
        <f>+AVERAGE($D$6:D8)</f>
        <v>0</v>
      </c>
      <c r="K7" s="43" t="str">
        <f t="shared" ref="K7:K17" si="2">+IF(J7=0,"Sin eventos registrados",30/J7)</f>
        <v>Sin eventos registrados</v>
      </c>
    </row>
    <row r="8" spans="1:18">
      <c r="A8" s="4">
        <v>45717</v>
      </c>
      <c r="B8" s="5">
        <v>0</v>
      </c>
      <c r="C8" s="41">
        <f>B8*2000</f>
        <v>0</v>
      </c>
      <c r="D8" s="203">
        <v>0</v>
      </c>
      <c r="E8" s="5">
        <v>0</v>
      </c>
      <c r="F8" s="38" t="e">
        <f t="shared" si="0"/>
        <v>#DIV/0!</v>
      </c>
      <c r="G8" s="37" t="e">
        <f>D8*1000000/C8</f>
        <v>#DIV/0!</v>
      </c>
      <c r="H8" s="49" t="e">
        <f>+SUM($D$6:D9)*1000000/SUM($C$6:C9)</f>
        <v>#DIV/0!</v>
      </c>
      <c r="I8" s="49" t="e">
        <f t="shared" si="1"/>
        <v>#DIV/0!</v>
      </c>
      <c r="J8" s="46">
        <f>+AVERAGE($D$6:D9)</f>
        <v>0</v>
      </c>
      <c r="K8" s="43" t="str">
        <f t="shared" si="2"/>
        <v>Sin eventos registrados</v>
      </c>
    </row>
    <row r="9" spans="1:18">
      <c r="A9" s="4">
        <v>45748</v>
      </c>
      <c r="B9" s="5">
        <v>0</v>
      </c>
      <c r="C9" s="41">
        <f>B9*2000</f>
        <v>0</v>
      </c>
      <c r="D9" s="203">
        <v>0</v>
      </c>
      <c r="E9" s="5">
        <v>0</v>
      </c>
      <c r="F9" s="38" t="e">
        <f t="shared" si="0"/>
        <v>#DIV/0!</v>
      </c>
      <c r="G9" s="37" t="e">
        <f>D9*1000000/C9</f>
        <v>#DIV/0!</v>
      </c>
      <c r="H9" s="49" t="e">
        <f>+SUM($D$6:D10)*1000000/SUM($C$6:C10)</f>
        <v>#DIV/0!</v>
      </c>
      <c r="I9" s="49" t="e">
        <f>+H9/1000</f>
        <v>#DIV/0!</v>
      </c>
      <c r="J9" s="46">
        <f>+AVERAGE($D$6:D10)</f>
        <v>0</v>
      </c>
      <c r="K9" s="43" t="str">
        <f>+IF(J9=0,"Sin eventos registrados",30/J9)</f>
        <v>Sin eventos registrados</v>
      </c>
    </row>
    <row r="10" spans="1:18">
      <c r="A10" s="4">
        <v>45778</v>
      </c>
      <c r="B10" s="5">
        <v>0</v>
      </c>
      <c r="C10" s="41">
        <f t="shared" ref="C10:C17" si="3">B10*8*22</f>
        <v>0</v>
      </c>
      <c r="D10" s="203">
        <v>0</v>
      </c>
      <c r="E10" s="5">
        <v>0</v>
      </c>
      <c r="F10" s="38" t="e">
        <f t="shared" si="0"/>
        <v>#DIV/0!</v>
      </c>
      <c r="G10" s="37" t="e">
        <f t="shared" ref="G10:G17" si="4">D10*1000000/C10</f>
        <v>#DIV/0!</v>
      </c>
      <c r="H10" s="49" t="e">
        <f>+SUM($D$6:D11)*1000000/SUM($C$6:C11)</f>
        <v>#DIV/0!</v>
      </c>
      <c r="I10" s="49" t="e">
        <f t="shared" si="1"/>
        <v>#DIV/0!</v>
      </c>
      <c r="J10" s="46">
        <f>+AVERAGE($D$6:D11)</f>
        <v>0</v>
      </c>
      <c r="K10" s="43" t="str">
        <f>+IF(J10=0,"Sin eventos registrados",30/J10)</f>
        <v>Sin eventos registrados</v>
      </c>
    </row>
    <row r="11" spans="1:18">
      <c r="A11" s="4">
        <v>45809</v>
      </c>
      <c r="B11" s="5">
        <v>0</v>
      </c>
      <c r="C11" s="41">
        <f t="shared" si="3"/>
        <v>0</v>
      </c>
      <c r="D11" s="203">
        <v>0</v>
      </c>
      <c r="E11" s="5">
        <v>0</v>
      </c>
      <c r="F11" s="38" t="e">
        <f>D11*1000/B11</f>
        <v>#DIV/0!</v>
      </c>
      <c r="G11" s="37" t="e">
        <f>D11*1000000/C11</f>
        <v>#DIV/0!</v>
      </c>
      <c r="H11" s="49" t="e">
        <f>+SUM($D$6:D12)*1000000/SUM($C$6:C12)</f>
        <v>#DIV/0!</v>
      </c>
      <c r="I11" s="49" t="e">
        <f t="shared" si="1"/>
        <v>#DIV/0!</v>
      </c>
      <c r="J11" s="46">
        <f>+AVERAGE($D$6:D12)</f>
        <v>0</v>
      </c>
      <c r="K11" s="43" t="str">
        <f t="shared" si="2"/>
        <v>Sin eventos registrados</v>
      </c>
    </row>
    <row r="12" spans="1:18">
      <c r="A12" s="4">
        <v>45839</v>
      </c>
      <c r="B12" s="5">
        <v>0</v>
      </c>
      <c r="C12" s="41">
        <f t="shared" si="3"/>
        <v>0</v>
      </c>
      <c r="D12" s="203">
        <v>0</v>
      </c>
      <c r="E12" s="5">
        <v>0</v>
      </c>
      <c r="F12" s="38" t="e">
        <f>D12*1000/B12*12</f>
        <v>#DIV/0!</v>
      </c>
      <c r="G12" s="37" t="e">
        <f t="shared" si="4"/>
        <v>#DIV/0!</v>
      </c>
      <c r="H12" s="49" t="e">
        <f>+SUM($D$6:D13)*1000000/SUM($C$6:C13)</f>
        <v>#DIV/0!</v>
      </c>
      <c r="I12" s="49" t="e">
        <f t="shared" si="1"/>
        <v>#DIV/0!</v>
      </c>
      <c r="J12" s="46">
        <f>+AVERAGE($D$6:D13)</f>
        <v>0</v>
      </c>
      <c r="K12" s="43" t="str">
        <f t="shared" si="2"/>
        <v>Sin eventos registrados</v>
      </c>
    </row>
    <row r="13" spans="1:18">
      <c r="A13" s="4">
        <v>45870</v>
      </c>
      <c r="B13" s="5">
        <v>0</v>
      </c>
      <c r="C13" s="41">
        <f>B13*200</f>
        <v>0</v>
      </c>
      <c r="D13" s="203">
        <v>0</v>
      </c>
      <c r="E13" s="5">
        <v>0</v>
      </c>
      <c r="F13" s="38" t="e">
        <f t="shared" si="0"/>
        <v>#DIV/0!</v>
      </c>
      <c r="G13" s="37" t="e">
        <f t="shared" si="4"/>
        <v>#DIV/0!</v>
      </c>
      <c r="H13" s="49">
        <f>+SUM($D$6:D14)*1000000/SUM($C$6:C14)</f>
        <v>72.463768115942031</v>
      </c>
      <c r="I13" s="49">
        <f>+H13/1000</f>
        <v>7.2463768115942032E-2</v>
      </c>
      <c r="J13" s="46">
        <f>+AVERAGE($D$6:D14)</f>
        <v>0.1111111111111111</v>
      </c>
      <c r="K13" s="43">
        <f t="shared" si="2"/>
        <v>270</v>
      </c>
    </row>
    <row r="14" spans="1:18">
      <c r="A14" s="4">
        <v>45901</v>
      </c>
      <c r="B14" s="5">
        <v>69</v>
      </c>
      <c r="C14" s="41">
        <f t="shared" ref="C14:C15" si="5">B14*200</f>
        <v>13800</v>
      </c>
      <c r="D14" s="203">
        <v>1</v>
      </c>
      <c r="E14" s="5">
        <v>21</v>
      </c>
      <c r="F14" s="38">
        <f t="shared" si="0"/>
        <v>173.91304347826087</v>
      </c>
      <c r="G14" s="37">
        <f t="shared" si="4"/>
        <v>72.463768115942031</v>
      </c>
      <c r="H14" s="49">
        <f>+SUM($D$6:D15)*1000000/SUM($C$6:C15)</f>
        <v>34.722222222222221</v>
      </c>
      <c r="I14" s="49">
        <f t="shared" si="1"/>
        <v>3.4722222222222224E-2</v>
      </c>
      <c r="J14" s="46">
        <f>+AVERAGE($D$6:D15)</f>
        <v>0.1</v>
      </c>
      <c r="K14" s="43">
        <f t="shared" si="2"/>
        <v>300</v>
      </c>
    </row>
    <row r="15" spans="1:18">
      <c r="A15" s="4">
        <v>45931</v>
      </c>
      <c r="B15" s="5">
        <v>75</v>
      </c>
      <c r="C15" s="41">
        <f t="shared" si="5"/>
        <v>15000</v>
      </c>
      <c r="D15" s="203">
        <v>0</v>
      </c>
      <c r="E15" s="5">
        <v>0</v>
      </c>
      <c r="F15" s="38">
        <f t="shared" si="0"/>
        <v>0</v>
      </c>
      <c r="G15" s="37">
        <f t="shared" si="4"/>
        <v>0</v>
      </c>
      <c r="H15" s="49">
        <f>+SUM($D$6:D16)*1000000/SUM($C$6:C16)</f>
        <v>47.027840481565086</v>
      </c>
      <c r="I15" s="49">
        <f t="shared" si="1"/>
        <v>4.7027840481565088E-2</v>
      </c>
      <c r="J15" s="46">
        <f>+AVERAGE($D$6:D16)</f>
        <v>0.18181818181818182</v>
      </c>
      <c r="K15" s="43">
        <f t="shared" si="2"/>
        <v>165</v>
      </c>
    </row>
    <row r="16" spans="1:18">
      <c r="A16" s="4">
        <v>45962</v>
      </c>
      <c r="B16" s="5">
        <v>78</v>
      </c>
      <c r="C16" s="41">
        <f t="shared" si="3"/>
        <v>13728</v>
      </c>
      <c r="D16" s="5">
        <v>1</v>
      </c>
      <c r="E16" s="5">
        <v>6</v>
      </c>
      <c r="F16" s="38">
        <f t="shared" si="0"/>
        <v>153.84615384615387</v>
      </c>
      <c r="G16" s="37">
        <f t="shared" si="4"/>
        <v>72.843822843822849</v>
      </c>
      <c r="H16" s="49">
        <f>+SUM($D$6:D17)*1000000/SUM($C$6:C17)</f>
        <v>55.228276877761417</v>
      </c>
      <c r="I16" s="49">
        <f t="shared" si="1"/>
        <v>5.5228276877761419E-2</v>
      </c>
      <c r="J16" s="46">
        <f>+AVERAGE($D$6:D17)</f>
        <v>0.25</v>
      </c>
      <c r="K16" s="43">
        <f t="shared" si="2"/>
        <v>120</v>
      </c>
    </row>
    <row r="17" spans="1:12">
      <c r="A17" s="4">
        <v>45992</v>
      </c>
      <c r="B17" s="5">
        <v>67</v>
      </c>
      <c r="C17" s="41">
        <f t="shared" si="3"/>
        <v>11792</v>
      </c>
      <c r="D17" s="5">
        <v>1</v>
      </c>
      <c r="E17" s="5">
        <v>10</v>
      </c>
      <c r="F17" s="38">
        <f t="shared" si="0"/>
        <v>179.1044776119403</v>
      </c>
      <c r="G17" s="37">
        <f t="shared" si="4"/>
        <v>84.803256445047495</v>
      </c>
      <c r="H17" s="49">
        <f>+SUM($D$6:D18)*1000000/SUM($C$6:C18)</f>
        <v>55.228276877761417</v>
      </c>
      <c r="I17" s="49">
        <f t="shared" si="1"/>
        <v>5.5228276877761419E-2</v>
      </c>
      <c r="J17" s="46">
        <f>+AVERAGE($D$6:D18)</f>
        <v>0.25</v>
      </c>
      <c r="K17" s="43">
        <f t="shared" si="2"/>
        <v>120</v>
      </c>
    </row>
    <row r="18" spans="1:12">
      <c r="A18" s="4"/>
      <c r="B18" s="5"/>
      <c r="C18" s="5"/>
      <c r="D18" s="5"/>
      <c r="E18" s="5"/>
      <c r="F18" s="38"/>
      <c r="G18" s="37"/>
    </row>
    <row r="19" spans="1:12">
      <c r="A19" s="3" t="s">
        <v>326</v>
      </c>
      <c r="B19" s="5">
        <f>SUM(B6:B17)/12</f>
        <v>24.083333333333332</v>
      </c>
      <c r="C19" s="5">
        <f>SUM(C6:C17)</f>
        <v>54320</v>
      </c>
      <c r="D19" s="5">
        <f>SUM(D6:D17)</f>
        <v>3</v>
      </c>
      <c r="E19" s="10">
        <f>SUM(E6:E17)</f>
        <v>37</v>
      </c>
      <c r="F19" s="38">
        <f>D19*1000/B19</f>
        <v>124.56747404844292</v>
      </c>
      <c r="G19" s="37"/>
    </row>
    <row r="20" spans="1:12">
      <c r="A20" s="2"/>
    </row>
    <row r="21" spans="1:12">
      <c r="A21" s="2"/>
      <c r="I21" s="74"/>
      <c r="J21" s="74"/>
      <c r="K21" s="74"/>
    </row>
    <row r="22" spans="1:12" ht="18" customHeight="1">
      <c r="A22" s="16" t="s">
        <v>327</v>
      </c>
      <c r="B22" s="6"/>
      <c r="C22" s="7" t="s">
        <v>328</v>
      </c>
      <c r="D22" s="18" t="s">
        <v>329</v>
      </c>
      <c r="E22" s="20">
        <f>D19*1000/B19</f>
        <v>124.56747404844292</v>
      </c>
      <c r="F22" s="215" t="s">
        <v>330</v>
      </c>
      <c r="H22" s="74"/>
      <c r="I22" s="74"/>
      <c r="J22" s="75"/>
      <c r="K22" s="75"/>
      <c r="L22" s="75"/>
    </row>
    <row r="23" spans="1:12" ht="20.25">
      <c r="A23" s="16"/>
      <c r="B23" s="6"/>
      <c r="C23" s="8" t="s">
        <v>331</v>
      </c>
      <c r="D23" s="18"/>
      <c r="E23" s="21"/>
      <c r="F23" s="215"/>
      <c r="H23" s="75"/>
      <c r="I23" s="75"/>
      <c r="J23" s="75"/>
      <c r="K23" s="75"/>
      <c r="L23" s="75"/>
    </row>
    <row r="24" spans="1:12" ht="20.25">
      <c r="A24" s="17"/>
      <c r="C24" s="2"/>
      <c r="D24" s="19"/>
      <c r="E24" s="22"/>
      <c r="F24" s="24"/>
      <c r="H24" s="74"/>
      <c r="I24" s="74"/>
      <c r="J24" s="75"/>
      <c r="K24" s="75"/>
      <c r="L24" s="75"/>
    </row>
    <row r="25" spans="1:12" ht="20.25" customHeight="1">
      <c r="A25" s="16" t="s">
        <v>332</v>
      </c>
      <c r="B25" s="6"/>
      <c r="C25" s="7" t="s">
        <v>333</v>
      </c>
      <c r="D25" s="18" t="s">
        <v>329</v>
      </c>
      <c r="E25" s="20">
        <f>D19*1000000/C19</f>
        <v>55.228276877761417</v>
      </c>
      <c r="F25" s="215" t="s">
        <v>334</v>
      </c>
      <c r="H25" s="74"/>
      <c r="I25" s="74"/>
      <c r="J25" s="75"/>
      <c r="K25" s="75"/>
      <c r="L25" s="75"/>
    </row>
    <row r="26" spans="1:12" ht="20.25">
      <c r="A26" s="16"/>
      <c r="B26" s="6"/>
      <c r="C26" s="8" t="s">
        <v>335</v>
      </c>
      <c r="D26" s="18"/>
      <c r="E26" s="21"/>
      <c r="F26" s="215"/>
      <c r="H26" s="75"/>
      <c r="I26" s="75"/>
      <c r="J26" s="75"/>
      <c r="K26" s="75"/>
      <c r="L26" s="75"/>
    </row>
    <row r="27" spans="1:12" ht="20.25">
      <c r="A27" s="17"/>
      <c r="D27" s="19"/>
      <c r="E27" s="22"/>
      <c r="F27" s="24"/>
      <c r="H27" s="74"/>
      <c r="I27" s="74"/>
      <c r="J27" s="75"/>
      <c r="K27" s="75"/>
      <c r="L27" s="75"/>
    </row>
    <row r="28" spans="1:12" ht="20.25" customHeight="1">
      <c r="A28" s="16" t="s">
        <v>336</v>
      </c>
      <c r="B28" s="6"/>
      <c r="C28" s="7" t="s">
        <v>319</v>
      </c>
      <c r="D28" s="18" t="s">
        <v>329</v>
      </c>
      <c r="E28" s="23">
        <f>E19/B19</f>
        <v>1.5363321799307958</v>
      </c>
      <c r="F28" s="215" t="s">
        <v>337</v>
      </c>
      <c r="H28" s="74"/>
      <c r="I28" s="74"/>
      <c r="J28" s="75"/>
      <c r="K28" s="75"/>
      <c r="L28" s="75"/>
    </row>
    <row r="29" spans="1:12" ht="20.2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AC29-9ECD-451C-B478-25149C325A9C}">
  <sheetPr>
    <tabColor theme="1"/>
    <pageSetUpPr fitToPage="1"/>
  </sheetPr>
  <dimension ref="A1:R59"/>
  <sheetViews>
    <sheetView topLeftCell="A4" workbookViewId="0">
      <selection activeCell="C13" sqref="C13"/>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349</v>
      </c>
      <c r="C2" s="9"/>
      <c r="F2" s="11"/>
      <c r="P2" s="1"/>
      <c r="Q2" s="9"/>
      <c r="R2" s="12"/>
    </row>
    <row r="3" spans="1:18" ht="21" customHeight="1">
      <c r="C3" s="9" t="s">
        <v>314</v>
      </c>
      <c r="H3" s="47" t="s">
        <v>315</v>
      </c>
      <c r="I3" s="47"/>
      <c r="K3" s="47" t="s">
        <v>315</v>
      </c>
    </row>
    <row r="4" spans="1:18" ht="118.9">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12</v>
      </c>
      <c r="C6" s="41">
        <f>B6*200</f>
        <v>2400</v>
      </c>
      <c r="D6" s="203">
        <v>0</v>
      </c>
      <c r="E6" s="5">
        <v>0</v>
      </c>
      <c r="F6" s="38">
        <f>D6*1000/B6*12</f>
        <v>0</v>
      </c>
      <c r="G6" s="37">
        <f>D6*1000000/C6</f>
        <v>0</v>
      </c>
      <c r="H6" s="49">
        <f>+D7*1000000/C7</f>
        <v>0</v>
      </c>
      <c r="I6" s="49">
        <f>+H6/1000</f>
        <v>0</v>
      </c>
      <c r="J6" s="46">
        <f>+AVERAGE($D$6:D7)</f>
        <v>0</v>
      </c>
      <c r="K6" s="43" t="str">
        <f>+IF(J6=0,"Sin eventos registrados",30/J6)</f>
        <v>Sin eventos registrados</v>
      </c>
    </row>
    <row r="7" spans="1:18">
      <c r="A7" s="4">
        <v>45323</v>
      </c>
      <c r="B7" s="5">
        <v>12</v>
      </c>
      <c r="C7" s="41">
        <f>B7*200</f>
        <v>2400</v>
      </c>
      <c r="D7" s="203">
        <v>0</v>
      </c>
      <c r="E7" s="5">
        <v>0</v>
      </c>
      <c r="F7" s="38">
        <f t="shared" ref="F7:F17" si="0">D7*1000/B7*12</f>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45352</v>
      </c>
      <c r="B8" s="5">
        <v>15</v>
      </c>
      <c r="C8" s="41">
        <f>B8*2000</f>
        <v>30000</v>
      </c>
      <c r="D8" s="203">
        <v>0</v>
      </c>
      <c r="E8" s="5">
        <v>0</v>
      </c>
      <c r="F8" s="38">
        <f t="shared" si="0"/>
        <v>0</v>
      </c>
      <c r="G8" s="37">
        <f>D8*1000000/C8</f>
        <v>0</v>
      </c>
      <c r="H8" s="49">
        <f>+SUM($D$6:D9)*1000000/SUM($C$6:C9)</f>
        <v>0</v>
      </c>
      <c r="I8" s="49">
        <f t="shared" si="1"/>
        <v>0</v>
      </c>
      <c r="J8" s="46">
        <f>+AVERAGE($D$6:D9)</f>
        <v>0</v>
      </c>
      <c r="K8" s="43" t="str">
        <f t="shared" si="2"/>
        <v>Sin eventos registrados</v>
      </c>
    </row>
    <row r="9" spans="1:18">
      <c r="A9" s="4">
        <v>45383</v>
      </c>
      <c r="B9" s="5">
        <v>15</v>
      </c>
      <c r="C9" s="41">
        <f>B9*2000</f>
        <v>30000</v>
      </c>
      <c r="D9" s="203">
        <v>0</v>
      </c>
      <c r="E9" s="5">
        <v>0</v>
      </c>
      <c r="F9" s="38">
        <f t="shared" si="0"/>
        <v>0</v>
      </c>
      <c r="G9" s="37">
        <f>D9*1000000/C9</f>
        <v>0</v>
      </c>
      <c r="H9" s="49">
        <f>+SUM($D$6:D10)*1000000/SUM($C$6:C10)</f>
        <v>0</v>
      </c>
      <c r="I9" s="49">
        <f>+H9/1000</f>
        <v>0</v>
      </c>
      <c r="J9" s="46">
        <f>+AVERAGE($D$6:D10)</f>
        <v>0</v>
      </c>
      <c r="K9" s="43" t="str">
        <f>+IF(J9=0,"Sin eventos registrados",30/J9)</f>
        <v>Sin eventos registrados</v>
      </c>
    </row>
    <row r="10" spans="1:18">
      <c r="A10" s="4">
        <v>45413</v>
      </c>
      <c r="B10" s="5">
        <v>15</v>
      </c>
      <c r="C10" s="41">
        <f t="shared" ref="C10:C17" si="3">B10*8*22</f>
        <v>2640</v>
      </c>
      <c r="D10" s="203">
        <v>0</v>
      </c>
      <c r="E10" s="5">
        <v>0</v>
      </c>
      <c r="F10" s="38">
        <f t="shared" si="0"/>
        <v>0</v>
      </c>
      <c r="G10" s="37">
        <f t="shared" ref="G10:G17" si="4">D10*1000000/C10</f>
        <v>0</v>
      </c>
      <c r="H10" s="49">
        <f>+SUM($D$6:D11)*1000000/SUM($C$6:C11)</f>
        <v>0</v>
      </c>
      <c r="I10" s="49">
        <f t="shared" si="1"/>
        <v>0</v>
      </c>
      <c r="J10" s="46">
        <f>+AVERAGE($D$6:D11)</f>
        <v>0</v>
      </c>
      <c r="K10" s="43" t="str">
        <f>+IF(J10=0,"Sin eventos registrados",30/J10)</f>
        <v>Sin eventos registrados</v>
      </c>
    </row>
    <row r="11" spans="1:18">
      <c r="A11" s="4">
        <v>45444</v>
      </c>
      <c r="B11" s="5">
        <v>14</v>
      </c>
      <c r="C11" s="41">
        <f t="shared" si="3"/>
        <v>2464</v>
      </c>
      <c r="D11" s="203">
        <v>0</v>
      </c>
      <c r="E11" s="5">
        <v>0</v>
      </c>
      <c r="F11" s="38">
        <f>D11*1000/B11</f>
        <v>0</v>
      </c>
      <c r="G11" s="37">
        <f>D11*1000000/C11</f>
        <v>0</v>
      </c>
      <c r="H11" s="49">
        <f>+SUM($D$6:D12)*1000000/SUM($C$6:C12)</f>
        <v>0</v>
      </c>
      <c r="I11" s="49">
        <f t="shared" si="1"/>
        <v>0</v>
      </c>
      <c r="J11" s="46">
        <f>+AVERAGE($D$6:D12)</f>
        <v>0</v>
      </c>
      <c r="K11" s="43" t="str">
        <f t="shared" si="2"/>
        <v>Sin eventos registrados</v>
      </c>
    </row>
    <row r="12" spans="1:18">
      <c r="A12" s="4">
        <v>45474</v>
      </c>
      <c r="B12" s="5">
        <v>15</v>
      </c>
      <c r="C12" s="41">
        <f t="shared" si="3"/>
        <v>2640</v>
      </c>
      <c r="D12" s="203">
        <v>0</v>
      </c>
      <c r="E12" s="5">
        <v>0</v>
      </c>
      <c r="F12" s="38">
        <f>D12*1000/B12*12</f>
        <v>0</v>
      </c>
      <c r="G12" s="37">
        <f t="shared" si="4"/>
        <v>0</v>
      </c>
      <c r="H12" s="49">
        <f>+SUM($D$6:D13)*1000000/SUM($C$6:C13)</f>
        <v>0</v>
      </c>
      <c r="I12" s="49">
        <f t="shared" si="1"/>
        <v>0</v>
      </c>
      <c r="J12" s="46">
        <f>+AVERAGE($D$6:D13)</f>
        <v>0</v>
      </c>
      <c r="K12" s="43" t="str">
        <f t="shared" si="2"/>
        <v>Sin eventos registrados</v>
      </c>
    </row>
    <row r="13" spans="1:18">
      <c r="A13" s="4">
        <v>45505</v>
      </c>
      <c r="B13" s="5">
        <v>16</v>
      </c>
      <c r="C13" s="41">
        <f>B13*200</f>
        <v>3200</v>
      </c>
      <c r="D13" s="203">
        <v>0</v>
      </c>
      <c r="E13" s="5">
        <v>0</v>
      </c>
      <c r="F13" s="38">
        <f t="shared" si="0"/>
        <v>0</v>
      </c>
      <c r="G13" s="37">
        <f t="shared" si="4"/>
        <v>0</v>
      </c>
      <c r="H13" s="49">
        <f>+SUM($D$6:D14)*1000000/SUM($C$6:C14)</f>
        <v>0</v>
      </c>
      <c r="I13" s="49">
        <f>+H13/1000</f>
        <v>0</v>
      </c>
      <c r="J13" s="46">
        <f>+AVERAGE($D$6:D14)</f>
        <v>0</v>
      </c>
      <c r="K13" s="43" t="str">
        <f t="shared" si="2"/>
        <v>Sin eventos registrados</v>
      </c>
    </row>
    <row r="14" spans="1:18">
      <c r="A14" s="4">
        <v>45536</v>
      </c>
      <c r="B14" s="5">
        <v>14</v>
      </c>
      <c r="C14" s="41">
        <f t="shared" ref="C14:C15" si="5">B14*200</f>
        <v>2800</v>
      </c>
      <c r="D14" s="203">
        <v>0</v>
      </c>
      <c r="E14" s="5">
        <v>0</v>
      </c>
      <c r="F14" s="38">
        <f t="shared" si="0"/>
        <v>0</v>
      </c>
      <c r="G14" s="37">
        <f t="shared" si="4"/>
        <v>0</v>
      </c>
      <c r="H14" s="49">
        <f>+SUM($D$6:D15)*1000000/SUM($C$6:C15)</f>
        <v>0</v>
      </c>
      <c r="I14" s="49">
        <f t="shared" si="1"/>
        <v>0</v>
      </c>
      <c r="J14" s="46">
        <f>+AVERAGE($D$6:D15)</f>
        <v>0</v>
      </c>
      <c r="K14" s="43" t="str">
        <f t="shared" si="2"/>
        <v>Sin eventos registrados</v>
      </c>
    </row>
    <row r="15" spans="1:18">
      <c r="A15" s="4">
        <v>45566</v>
      </c>
      <c r="B15" s="5">
        <v>5</v>
      </c>
      <c r="C15" s="41">
        <f t="shared" si="5"/>
        <v>1000</v>
      </c>
      <c r="D15" s="203">
        <v>0</v>
      </c>
      <c r="E15" s="5">
        <v>0</v>
      </c>
      <c r="F15" s="38">
        <f t="shared" si="0"/>
        <v>0</v>
      </c>
      <c r="G15" s="37">
        <f t="shared" si="4"/>
        <v>0</v>
      </c>
      <c r="H15" s="49">
        <f>+SUM($D$6:D16)*1000000/SUM($C$6:C16)</f>
        <v>0</v>
      </c>
      <c r="I15" s="49">
        <f t="shared" si="1"/>
        <v>0</v>
      </c>
      <c r="J15" s="46">
        <f>+AVERAGE($D$6:D16)</f>
        <v>0</v>
      </c>
      <c r="K15" s="43" t="str">
        <f t="shared" si="2"/>
        <v>Sin eventos registrados</v>
      </c>
    </row>
    <row r="16" spans="1:18">
      <c r="A16" s="4">
        <v>45597</v>
      </c>
      <c r="B16" s="5">
        <v>5</v>
      </c>
      <c r="C16" s="41">
        <f t="shared" si="3"/>
        <v>880</v>
      </c>
      <c r="D16" s="5">
        <v>0</v>
      </c>
      <c r="E16" s="5">
        <v>0</v>
      </c>
      <c r="F16" s="38">
        <f t="shared" si="0"/>
        <v>0</v>
      </c>
      <c r="G16" s="37">
        <f t="shared" si="4"/>
        <v>0</v>
      </c>
      <c r="H16" s="49">
        <f>+SUM($D$6:D17)*1000000/SUM($C$6:C17)</f>
        <v>0</v>
      </c>
      <c r="I16" s="49">
        <f t="shared" si="1"/>
        <v>0</v>
      </c>
      <c r="J16" s="46">
        <f>+AVERAGE($D$6:D17)</f>
        <v>0</v>
      </c>
      <c r="K16" s="43" t="str">
        <f t="shared" si="2"/>
        <v>Sin eventos registrados</v>
      </c>
    </row>
    <row r="17" spans="1:12">
      <c r="A17" s="4">
        <v>45627</v>
      </c>
      <c r="B17" s="5">
        <v>7</v>
      </c>
      <c r="C17" s="41">
        <f t="shared" si="3"/>
        <v>1232</v>
      </c>
      <c r="D17" s="5">
        <v>0</v>
      </c>
      <c r="E17" s="5">
        <v>0</v>
      </c>
      <c r="F17" s="38">
        <f t="shared" si="0"/>
        <v>0</v>
      </c>
      <c r="G17" s="37">
        <f t="shared" si="4"/>
        <v>0</v>
      </c>
      <c r="H17" s="49">
        <f>+SUM($D$6:D18)*1000000/SUM($C$6:C18)</f>
        <v>0</v>
      </c>
      <c r="I17" s="49">
        <f t="shared" si="1"/>
        <v>0</v>
      </c>
      <c r="J17" s="46">
        <f>+AVERAGE($D$6:D18)</f>
        <v>0</v>
      </c>
      <c r="K17" s="43" t="str">
        <f t="shared" si="2"/>
        <v>Sin eventos registrados</v>
      </c>
    </row>
    <row r="18" spans="1:12">
      <c r="A18" s="4"/>
      <c r="B18" s="5"/>
      <c r="C18" s="5"/>
      <c r="D18" s="5"/>
      <c r="E18" s="5"/>
      <c r="F18" s="38"/>
      <c r="G18" s="37"/>
    </row>
    <row r="19" spans="1:12">
      <c r="A19" s="3" t="s">
        <v>326</v>
      </c>
      <c r="B19" s="5">
        <f>SUM(B6:B17)/12</f>
        <v>12.083333333333334</v>
      </c>
      <c r="C19" s="5">
        <f>SUM(C6:C17)</f>
        <v>81656</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pageSetUpPr fitToPage="1"/>
  </sheetPr>
  <dimension ref="A1:R59"/>
  <sheetViews>
    <sheetView topLeftCell="A11" workbookViewId="0">
      <selection activeCell="F18" sqref="F18"/>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140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22</v>
      </c>
      <c r="C2" s="9"/>
      <c r="F2" s="11"/>
      <c r="P2" s="1"/>
      <c r="Q2" s="9"/>
      <c r="R2" s="12"/>
    </row>
    <row r="3" spans="1:18" ht="21" customHeight="1">
      <c r="C3" s="9" t="s">
        <v>314</v>
      </c>
      <c r="H3" s="47" t="s">
        <v>315</v>
      </c>
      <c r="I3" s="47"/>
      <c r="K3" s="47" t="s">
        <v>315</v>
      </c>
    </row>
    <row r="4" spans="1:18" ht="6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0</v>
      </c>
      <c r="C6" s="5">
        <v>0</v>
      </c>
      <c r="D6" s="5">
        <v>0</v>
      </c>
      <c r="E6" s="5">
        <v>0</v>
      </c>
      <c r="F6" s="5" t="e">
        <f t="shared" ref="F6:F17" si="0">D6*1000/B6*12</f>
        <v>#DIV/0!</v>
      </c>
      <c r="G6" s="37" t="e">
        <f>D6*1000000/C6</f>
        <v>#DIV/0!</v>
      </c>
      <c r="H6" s="49" t="e">
        <f>+D7*1000000/C7</f>
        <v>#DIV/0!</v>
      </c>
      <c r="I6" s="49" t="e">
        <f>+H6/1000</f>
        <v>#DIV/0!</v>
      </c>
      <c r="J6" s="46">
        <f>+AVERAGE($D$6:D7)</f>
        <v>0</v>
      </c>
      <c r="K6" s="43" t="str">
        <f>+IF(J6=0,"Sin eventos registrados",30/J6)</f>
        <v>Sin eventos registrados</v>
      </c>
    </row>
    <row r="7" spans="1:18">
      <c r="A7" s="4">
        <v>45689</v>
      </c>
      <c r="B7" s="5">
        <v>0</v>
      </c>
      <c r="C7" s="5">
        <v>0</v>
      </c>
      <c r="D7" s="5">
        <v>0</v>
      </c>
      <c r="E7" s="5">
        <v>0</v>
      </c>
      <c r="F7" s="5" t="e">
        <f t="shared" si="0"/>
        <v>#DIV/0!</v>
      </c>
      <c r="G7" s="37" t="e">
        <f>D7*1000000/C7</f>
        <v>#DIV/0!</v>
      </c>
      <c r="H7" s="49" t="e">
        <f>+SUM($D$6:D8)*1000000/SUM($C$6:C8)</f>
        <v>#DIV/0!</v>
      </c>
      <c r="I7" s="49" t="e">
        <f t="shared" ref="I7:I17" si="1">+H7/1000</f>
        <v>#DIV/0!</v>
      </c>
      <c r="J7" s="46">
        <f>+AVERAGE($D$6:D8)</f>
        <v>0</v>
      </c>
      <c r="K7" s="43" t="str">
        <f t="shared" ref="K7:K17" si="2">+IF(J7=0,"Sin eventos registrados",30/J7)</f>
        <v>Sin eventos registrados</v>
      </c>
    </row>
    <row r="8" spans="1:18">
      <c r="A8" s="4">
        <v>45717</v>
      </c>
      <c r="B8" s="5">
        <v>0</v>
      </c>
      <c r="C8" s="5">
        <v>0</v>
      </c>
      <c r="D8" s="5">
        <v>0</v>
      </c>
      <c r="E8" s="5">
        <v>0</v>
      </c>
      <c r="F8" s="5" t="e">
        <f t="shared" si="0"/>
        <v>#DIV/0!</v>
      </c>
      <c r="G8" s="37" t="e">
        <f>D8*1000000/C8</f>
        <v>#DIV/0!</v>
      </c>
      <c r="H8" s="49" t="e">
        <f>+SUM($D$6:D9)*1000000/SUM($C$6:C9)</f>
        <v>#DIV/0!</v>
      </c>
      <c r="I8" s="49" t="e">
        <f t="shared" si="1"/>
        <v>#DIV/0!</v>
      </c>
      <c r="J8" s="46">
        <f>+AVERAGE($D$6:D9)</f>
        <v>0</v>
      </c>
      <c r="K8" s="43" t="str">
        <f t="shared" si="2"/>
        <v>Sin eventos registrados</v>
      </c>
    </row>
    <row r="9" spans="1:18">
      <c r="A9" s="4">
        <v>45748</v>
      </c>
      <c r="B9" s="5">
        <v>0</v>
      </c>
      <c r="C9" s="5">
        <v>0</v>
      </c>
      <c r="D9" s="5">
        <v>0</v>
      </c>
      <c r="E9" s="5">
        <v>0</v>
      </c>
      <c r="F9" s="5" t="e">
        <f t="shared" si="0"/>
        <v>#DIV/0!</v>
      </c>
      <c r="G9" s="37" t="e">
        <f>D9*1000000/C9</f>
        <v>#DIV/0!</v>
      </c>
      <c r="H9" s="49" t="e">
        <f>+SUM($D$6:D10)*1000000/SUM($C$6:C10)</f>
        <v>#DIV/0!</v>
      </c>
      <c r="I9" s="49" t="e">
        <f>+H9/1000</f>
        <v>#DIV/0!</v>
      </c>
      <c r="J9" s="46">
        <f>+AVERAGE($D$6:D10)</f>
        <v>0</v>
      </c>
      <c r="K9" s="43" t="str">
        <f>+IF(J9=0,"Sin eventos registrados",30/J9)</f>
        <v>Sin eventos registrados</v>
      </c>
    </row>
    <row r="10" spans="1:18">
      <c r="A10" s="4">
        <v>45778</v>
      </c>
      <c r="B10" s="5">
        <v>0</v>
      </c>
      <c r="C10" s="5">
        <v>0</v>
      </c>
      <c r="D10" s="5">
        <v>0</v>
      </c>
      <c r="E10" s="5">
        <v>0</v>
      </c>
      <c r="F10" s="5" t="e">
        <f>D10*1000/B10</f>
        <v>#DIV/0!</v>
      </c>
      <c r="G10" s="37" t="e">
        <f t="shared" ref="G10:G17" si="3">D10*1000000/C10</f>
        <v>#DIV/0!</v>
      </c>
      <c r="H10" s="49" t="e">
        <f>+SUM($D$6:D11)*1000000/SUM($C$6:C11)</f>
        <v>#DIV/0!</v>
      </c>
      <c r="I10" s="49" t="e">
        <f t="shared" si="1"/>
        <v>#DIV/0!</v>
      </c>
      <c r="J10" s="46">
        <f>+AVERAGE($D$6:D11)</f>
        <v>0</v>
      </c>
      <c r="K10" s="43" t="str">
        <f>+IF(J10=0,"Sin eventos registrados",30/J10)</f>
        <v>Sin eventos registrados</v>
      </c>
    </row>
    <row r="11" spans="1:18">
      <c r="A11" s="4">
        <v>45809</v>
      </c>
      <c r="B11" s="5">
        <v>0</v>
      </c>
      <c r="C11" s="5">
        <v>0</v>
      </c>
      <c r="D11" s="5">
        <v>0</v>
      </c>
      <c r="E11" s="5">
        <v>0</v>
      </c>
      <c r="F11" s="5" t="e">
        <f t="shared" si="0"/>
        <v>#DIV/0!</v>
      </c>
      <c r="G11" s="37" t="e">
        <f>D11*1000000/C11</f>
        <v>#DIV/0!</v>
      </c>
      <c r="H11" s="49" t="e">
        <f>+SUM($D$6:D12)*1000000/SUM($C$6:C12)</f>
        <v>#DIV/0!</v>
      </c>
      <c r="I11" s="49" t="e">
        <f t="shared" si="1"/>
        <v>#DIV/0!</v>
      </c>
      <c r="J11" s="46">
        <f>+AVERAGE($D$6:D12)</f>
        <v>0</v>
      </c>
      <c r="K11" s="43" t="str">
        <f t="shared" si="2"/>
        <v>Sin eventos registrados</v>
      </c>
    </row>
    <row r="12" spans="1:18">
      <c r="A12" s="4">
        <v>45839</v>
      </c>
      <c r="B12" s="5">
        <v>0</v>
      </c>
      <c r="C12" s="5">
        <v>0</v>
      </c>
      <c r="D12" s="5">
        <v>0</v>
      </c>
      <c r="E12" s="5">
        <v>10</v>
      </c>
      <c r="F12" s="5" t="e">
        <f t="shared" si="0"/>
        <v>#DIV/0!</v>
      </c>
      <c r="G12" s="37" t="e">
        <f t="shared" si="3"/>
        <v>#DIV/0!</v>
      </c>
      <c r="H12" s="49" t="e">
        <f>+SUM($D$6:D13)*1000000/SUM($C$6:C13)</f>
        <v>#DIV/0!</v>
      </c>
      <c r="I12" s="49" t="e">
        <f t="shared" si="1"/>
        <v>#DIV/0!</v>
      </c>
      <c r="J12" s="46">
        <f>+AVERAGE($D$6:D13)</f>
        <v>0</v>
      </c>
      <c r="K12" s="43" t="str">
        <f t="shared" si="2"/>
        <v>Sin eventos registrados</v>
      </c>
    </row>
    <row r="13" spans="1:18">
      <c r="A13" s="4">
        <v>45870</v>
      </c>
      <c r="B13" s="5">
        <v>0</v>
      </c>
      <c r="C13" s="5">
        <v>0</v>
      </c>
      <c r="D13" s="5">
        <v>0</v>
      </c>
      <c r="E13" s="5">
        <v>10</v>
      </c>
      <c r="F13" s="5" t="e">
        <f t="shared" si="0"/>
        <v>#DIV/0!</v>
      </c>
      <c r="G13" s="37" t="e">
        <f t="shared" si="3"/>
        <v>#DIV/0!</v>
      </c>
      <c r="H13" s="49" t="e">
        <f>+SUM($D$6:D14)*1000000/SUM($C$6:C14)</f>
        <v>#DIV/0!</v>
      </c>
      <c r="I13" s="49" t="e">
        <f>+H13/1000</f>
        <v>#DIV/0!</v>
      </c>
      <c r="J13" s="46">
        <f>+AVERAGE($D$6:D14)</f>
        <v>0</v>
      </c>
      <c r="K13" s="43" t="str">
        <f t="shared" si="2"/>
        <v>Sin eventos registrados</v>
      </c>
    </row>
    <row r="14" spans="1:18">
      <c r="A14" s="4">
        <v>45901</v>
      </c>
      <c r="B14" s="5">
        <v>0</v>
      </c>
      <c r="C14" s="5">
        <f t="shared" ref="C8:C17" si="4">B14*8*25</f>
        <v>0</v>
      </c>
      <c r="D14" s="5">
        <v>0</v>
      </c>
      <c r="E14" s="5">
        <v>0</v>
      </c>
      <c r="F14" s="5" t="e">
        <f t="shared" si="0"/>
        <v>#DIV/0!</v>
      </c>
      <c r="G14" s="37" t="e">
        <f t="shared" si="3"/>
        <v>#DIV/0!</v>
      </c>
      <c r="H14" s="49" t="e">
        <f>+SUM($D$6:D15)*1000000/SUM($C$6:C15)</f>
        <v>#DIV/0!</v>
      </c>
      <c r="I14" s="49" t="e">
        <f t="shared" si="1"/>
        <v>#DIV/0!</v>
      </c>
      <c r="J14" s="46">
        <f>+AVERAGE($D$6:D15)</f>
        <v>0</v>
      </c>
      <c r="K14" s="43" t="str">
        <f t="shared" si="2"/>
        <v>Sin eventos registrados</v>
      </c>
    </row>
    <row r="15" spans="1:18">
      <c r="A15" s="4">
        <v>45931</v>
      </c>
      <c r="B15" s="5">
        <v>0</v>
      </c>
      <c r="C15" s="5">
        <f t="shared" si="4"/>
        <v>0</v>
      </c>
      <c r="D15" s="5">
        <v>0</v>
      </c>
      <c r="E15" s="5">
        <v>0</v>
      </c>
      <c r="F15" s="5" t="e">
        <f t="shared" si="0"/>
        <v>#DIV/0!</v>
      </c>
      <c r="G15" s="37" t="e">
        <f t="shared" si="3"/>
        <v>#DIV/0!</v>
      </c>
      <c r="H15" s="49" t="e">
        <f>+SUM($D$6:D16)*1000000/SUM($C$6:C16)</f>
        <v>#DIV/0!</v>
      </c>
      <c r="I15" s="49" t="e">
        <f t="shared" si="1"/>
        <v>#DIV/0!</v>
      </c>
      <c r="J15" s="46">
        <f>+AVERAGE($D$6:D16)</f>
        <v>0</v>
      </c>
      <c r="K15" s="43" t="str">
        <f t="shared" si="2"/>
        <v>Sin eventos registrados</v>
      </c>
    </row>
    <row r="16" spans="1:18">
      <c r="A16" s="4">
        <v>45962</v>
      </c>
      <c r="B16" s="5">
        <v>0</v>
      </c>
      <c r="C16" s="5">
        <f t="shared" si="4"/>
        <v>0</v>
      </c>
      <c r="D16" s="5">
        <v>0</v>
      </c>
      <c r="E16" s="5">
        <v>0</v>
      </c>
      <c r="F16" s="5" t="e">
        <f t="shared" si="0"/>
        <v>#DIV/0!</v>
      </c>
      <c r="G16" s="37" t="e">
        <f t="shared" si="3"/>
        <v>#DIV/0!</v>
      </c>
      <c r="H16" s="49" t="e">
        <f>+SUM($D$6:D17)*1000000/SUM($C$6:C17)</f>
        <v>#DIV/0!</v>
      </c>
      <c r="I16" s="49" t="e">
        <f t="shared" si="1"/>
        <v>#DIV/0!</v>
      </c>
      <c r="J16" s="46">
        <f>+AVERAGE($D$6:D17)</f>
        <v>0</v>
      </c>
      <c r="K16" s="43" t="str">
        <f t="shared" si="2"/>
        <v>Sin eventos registrados</v>
      </c>
    </row>
    <row r="17" spans="1:12">
      <c r="A17" s="4">
        <v>45992</v>
      </c>
      <c r="B17" s="5">
        <v>0</v>
      </c>
      <c r="C17" s="5">
        <f t="shared" si="4"/>
        <v>0</v>
      </c>
      <c r="D17" s="5">
        <v>0</v>
      </c>
      <c r="E17" s="5">
        <v>0</v>
      </c>
      <c r="F17" s="5" t="e">
        <f t="shared" si="0"/>
        <v>#DIV/0!</v>
      </c>
      <c r="G17" s="37" t="e">
        <f t="shared" si="3"/>
        <v>#DIV/0!</v>
      </c>
      <c r="H17" s="49" t="e">
        <f>+SUM($D$6:D18)*1000000/SUM($C$6:C18)</f>
        <v>#DIV/0!</v>
      </c>
      <c r="I17" s="49" t="e">
        <f t="shared" si="1"/>
        <v>#DIV/0!</v>
      </c>
      <c r="J17" s="46">
        <f>+AVERAGE($D$6:D18)</f>
        <v>0</v>
      </c>
      <c r="K17" s="43" t="str">
        <f t="shared" si="2"/>
        <v>Sin eventos registrados</v>
      </c>
    </row>
    <row r="18" spans="1:12">
      <c r="A18" s="4"/>
      <c r="B18" s="5"/>
      <c r="C18" s="5"/>
      <c r="D18" s="5"/>
      <c r="E18" s="5"/>
      <c r="F18" s="5"/>
    </row>
    <row r="19" spans="1:12">
      <c r="A19" s="3" t="s">
        <v>326</v>
      </c>
      <c r="B19" s="5">
        <f>SUM(B6:B17)/7</f>
        <v>0</v>
      </c>
      <c r="C19" s="5">
        <f>SUM(C6:C17)</f>
        <v>0</v>
      </c>
      <c r="D19" s="5">
        <f>SUM(D6:D17)</f>
        <v>0</v>
      </c>
      <c r="E19" s="10">
        <f>SUM(E6:E17)</f>
        <v>20</v>
      </c>
      <c r="F19" s="5" t="e">
        <f>D19*1000/B19</f>
        <v>#DIV/0!</v>
      </c>
    </row>
    <row r="20" spans="1:12">
      <c r="A20" s="2"/>
    </row>
    <row r="21" spans="1:12">
      <c r="A21" s="2"/>
    </row>
    <row r="22" spans="1:12" ht="18" customHeight="1">
      <c r="A22" s="16" t="s">
        <v>327</v>
      </c>
      <c r="B22" s="6"/>
      <c r="C22" s="7" t="s">
        <v>328</v>
      </c>
      <c r="D22" s="18" t="s">
        <v>329</v>
      </c>
      <c r="E22" s="20" t="e">
        <f>D19*1000/B19</f>
        <v>#DIV/0!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t="e">
        <f>D19*1000000/C19</f>
        <v>#DIV/0!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t="e">
        <f>E19/B19</f>
        <v>#DIV/0!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BA68-8964-4FAC-974B-36EF23D8127D}">
  <sheetPr>
    <tabColor theme="1"/>
    <pageSetUpPr fitToPage="1"/>
  </sheetPr>
  <dimension ref="A1:R59"/>
  <sheetViews>
    <sheetView topLeftCell="A9" workbookViewId="0">
      <selection activeCell="F4" sqref="F4"/>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14</v>
      </c>
      <c r="C2" s="9"/>
      <c r="F2" s="11"/>
      <c r="P2" s="1"/>
      <c r="Q2" s="9"/>
      <c r="R2" s="12"/>
    </row>
    <row r="3" spans="1:18" ht="21" customHeight="1">
      <c r="C3" s="9" t="s">
        <v>314</v>
      </c>
      <c r="H3" s="47" t="s">
        <v>315</v>
      </c>
      <c r="I3" s="47"/>
      <c r="K3" s="47" t="s">
        <v>315</v>
      </c>
    </row>
    <row r="4" spans="1:18" ht="118.9">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5</v>
      </c>
      <c r="C6" s="41">
        <f>B6*200</f>
        <v>1000</v>
      </c>
      <c r="D6" s="203">
        <v>0</v>
      </c>
      <c r="E6" s="5">
        <v>0</v>
      </c>
      <c r="F6" s="38">
        <f>D6*1000/B6*12</f>
        <v>0</v>
      </c>
      <c r="G6" s="37">
        <f>D6*1000000/C6</f>
        <v>0</v>
      </c>
      <c r="H6" s="49">
        <f>+SUM($D$6:D7)*1000000/SUM($C$6:C7)</f>
        <v>0</v>
      </c>
      <c r="I6" s="49">
        <f>+H6/1000</f>
        <v>0</v>
      </c>
      <c r="J6" s="46">
        <f>+AVERAGE($D$6:D7)</f>
        <v>0</v>
      </c>
      <c r="K6" s="43" t="str">
        <f>+IF(J6=0,"Sin eventos registrados",30/J6)</f>
        <v>Sin eventos registrados</v>
      </c>
    </row>
    <row r="7" spans="1:18">
      <c r="A7" s="4">
        <v>45689</v>
      </c>
      <c r="B7" s="5">
        <v>5</v>
      </c>
      <c r="C7" s="41">
        <f>B7*200</f>
        <v>1000</v>
      </c>
      <c r="D7" s="203">
        <v>0</v>
      </c>
      <c r="E7" s="5">
        <v>0</v>
      </c>
      <c r="F7" s="38">
        <f t="shared" ref="F7:F17" si="0">D7*1000/B7*12</f>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45717</v>
      </c>
      <c r="B8" s="5">
        <v>0</v>
      </c>
      <c r="C8" s="41">
        <f>200*B8</f>
        <v>0</v>
      </c>
      <c r="D8" s="203">
        <v>0</v>
      </c>
      <c r="E8" s="5">
        <v>0</v>
      </c>
      <c r="F8" s="38" t="e">
        <f t="shared" si="0"/>
        <v>#DIV/0!</v>
      </c>
      <c r="G8" s="37" t="e">
        <f>D8*1000000/C8</f>
        <v>#DIV/0!</v>
      </c>
      <c r="H8" s="49">
        <f>+SUM($D$6:D9)*1000000/SUM($C$6:C9)</f>
        <v>0</v>
      </c>
      <c r="I8" s="49">
        <f t="shared" si="1"/>
        <v>0</v>
      </c>
      <c r="J8" s="46">
        <f>+AVERAGE($D$6:D9)</f>
        <v>0</v>
      </c>
      <c r="K8" s="43" t="str">
        <f t="shared" si="2"/>
        <v>Sin eventos registrados</v>
      </c>
    </row>
    <row r="9" spans="1:18">
      <c r="A9" s="4">
        <v>45748</v>
      </c>
      <c r="B9" s="5">
        <v>0</v>
      </c>
      <c r="C9" s="41">
        <f>B9*8*22</f>
        <v>0</v>
      </c>
      <c r="D9" s="203">
        <v>0</v>
      </c>
      <c r="E9" s="5">
        <v>0</v>
      </c>
      <c r="F9" s="38" t="e">
        <f t="shared" si="0"/>
        <v>#DIV/0!</v>
      </c>
      <c r="G9" s="37" t="e">
        <f>D9*1000000/C9</f>
        <v>#DIV/0!</v>
      </c>
      <c r="H9" s="49">
        <f>+SUM($D$6:D10)*1000000/SUM($C$6:C10)</f>
        <v>0</v>
      </c>
      <c r="I9" s="49">
        <f>+H9/1000</f>
        <v>0</v>
      </c>
      <c r="J9" s="46">
        <f>+AVERAGE($D$6:D10)</f>
        <v>0</v>
      </c>
      <c r="K9" s="43" t="str">
        <f>+IF(J9=0,"Sin eventos registrados",30/J9)</f>
        <v>Sin eventos registrados</v>
      </c>
    </row>
    <row r="10" spans="1:18">
      <c r="A10" s="4">
        <v>45778</v>
      </c>
      <c r="B10" s="5">
        <v>0</v>
      </c>
      <c r="C10" s="41">
        <v>0</v>
      </c>
      <c r="D10" s="203">
        <v>0</v>
      </c>
      <c r="E10" s="5">
        <v>0</v>
      </c>
      <c r="F10" s="38" t="e">
        <f t="shared" si="0"/>
        <v>#DIV/0!</v>
      </c>
      <c r="G10" s="37" t="e">
        <f t="shared" ref="G10:G17" si="3">D10*1000000/C10</f>
        <v>#DIV/0!</v>
      </c>
      <c r="H10" s="49">
        <f>+SUM($D$6:D11)*1000000/SUM($C$6:C11)</f>
        <v>0</v>
      </c>
      <c r="I10" s="49">
        <f t="shared" si="1"/>
        <v>0</v>
      </c>
      <c r="J10" s="46">
        <f>+AVERAGE($D$6:D11)</f>
        <v>0</v>
      </c>
      <c r="K10" s="43" t="str">
        <f>+IF(J10=0,"Sin eventos registrados",30/J10)</f>
        <v>Sin eventos registrados</v>
      </c>
    </row>
    <row r="11" spans="1:18">
      <c r="A11" s="4">
        <v>45809</v>
      </c>
      <c r="B11" s="5">
        <v>0</v>
      </c>
      <c r="C11" s="41">
        <v>0</v>
      </c>
      <c r="D11" s="203">
        <v>0</v>
      </c>
      <c r="E11" s="5">
        <v>0</v>
      </c>
      <c r="F11" s="38" t="e">
        <f>D11*1000/B11</f>
        <v>#DIV/0!</v>
      </c>
      <c r="G11" s="37" t="e">
        <f>D11*1000000/C11</f>
        <v>#DIV/0!</v>
      </c>
      <c r="H11" s="49">
        <f>+SUM($D$6:D12)*1000000/SUM($C$6:C12)</f>
        <v>0</v>
      </c>
      <c r="I11" s="49">
        <f t="shared" si="1"/>
        <v>0</v>
      </c>
      <c r="J11" s="46">
        <f>+AVERAGE($D$6:D12)</f>
        <v>0</v>
      </c>
      <c r="K11" s="43" t="str">
        <f t="shared" si="2"/>
        <v>Sin eventos registrados</v>
      </c>
    </row>
    <row r="12" spans="1:18">
      <c r="A12" s="4">
        <v>45839</v>
      </c>
      <c r="B12" s="5">
        <v>0</v>
      </c>
      <c r="C12" s="41">
        <f>B12*200</f>
        <v>0</v>
      </c>
      <c r="D12" s="203">
        <v>0</v>
      </c>
      <c r="E12" s="5">
        <v>0</v>
      </c>
      <c r="F12" s="38" t="e">
        <f>D12*1000/B12*12</f>
        <v>#DIV/0!</v>
      </c>
      <c r="G12" s="37" t="e">
        <f t="shared" si="3"/>
        <v>#DIV/0!</v>
      </c>
      <c r="H12" s="49">
        <f>+SUM($D$6:D13)*1000000/SUM($C$6:C13)</f>
        <v>0</v>
      </c>
      <c r="I12" s="49">
        <f t="shared" si="1"/>
        <v>0</v>
      </c>
      <c r="J12" s="46">
        <f>+AVERAGE($D$6:D13)</f>
        <v>0</v>
      </c>
      <c r="K12" s="43" t="str">
        <f t="shared" si="2"/>
        <v>Sin eventos registrados</v>
      </c>
    </row>
    <row r="13" spans="1:18">
      <c r="A13" s="4">
        <v>45870</v>
      </c>
      <c r="B13" s="5">
        <v>0</v>
      </c>
      <c r="C13" s="41">
        <f t="shared" ref="C13:C17" si="4">B13*8*22</f>
        <v>0</v>
      </c>
      <c r="D13" s="203">
        <v>0</v>
      </c>
      <c r="E13" s="5">
        <v>0</v>
      </c>
      <c r="F13" s="38" t="e">
        <f t="shared" si="0"/>
        <v>#DIV/0!</v>
      </c>
      <c r="G13" s="37" t="e">
        <f t="shared" si="3"/>
        <v>#DIV/0!</v>
      </c>
      <c r="H13" s="49">
        <f>+SUM($D$6:D14)*1000000/SUM($C$6:C14)</f>
        <v>0</v>
      </c>
      <c r="I13" s="49">
        <f>+H13/1000</f>
        <v>0</v>
      </c>
      <c r="J13" s="46">
        <f>+AVERAGE($D$6:D14)</f>
        <v>0</v>
      </c>
      <c r="K13" s="43" t="str">
        <f t="shared" si="2"/>
        <v>Sin eventos registrados</v>
      </c>
    </row>
    <row r="14" spans="1:18">
      <c r="A14" s="4">
        <v>45901</v>
      </c>
      <c r="B14" s="5">
        <v>0</v>
      </c>
      <c r="C14" s="41">
        <f t="shared" si="4"/>
        <v>0</v>
      </c>
      <c r="D14" s="203">
        <v>0</v>
      </c>
      <c r="E14" s="5">
        <v>0</v>
      </c>
      <c r="F14" s="38" t="e">
        <f t="shared" si="0"/>
        <v>#DIV/0!</v>
      </c>
      <c r="G14" s="37" t="e">
        <f t="shared" si="3"/>
        <v>#DIV/0!</v>
      </c>
      <c r="H14" s="49">
        <f>+SUM($D$6:D15)*1000000/SUM($C$6:C15)</f>
        <v>0</v>
      </c>
      <c r="I14" s="49">
        <f t="shared" si="1"/>
        <v>0</v>
      </c>
      <c r="J14" s="46">
        <f>+AVERAGE($D$6:D15)</f>
        <v>0</v>
      </c>
      <c r="K14" s="43" t="str">
        <f t="shared" si="2"/>
        <v>Sin eventos registrados</v>
      </c>
    </row>
    <row r="15" spans="1:18">
      <c r="A15" s="4">
        <v>45931</v>
      </c>
      <c r="B15" s="5">
        <v>0</v>
      </c>
      <c r="C15" s="41">
        <f t="shared" si="4"/>
        <v>0</v>
      </c>
      <c r="D15" s="203">
        <v>0</v>
      </c>
      <c r="E15" s="5">
        <v>0</v>
      </c>
      <c r="F15" s="38" t="e">
        <f t="shared" si="0"/>
        <v>#DIV/0!</v>
      </c>
      <c r="G15" s="37" t="e">
        <f t="shared" si="3"/>
        <v>#DIV/0!</v>
      </c>
      <c r="H15" s="49">
        <f>+SUM($D$6:D16)*1000000/SUM($C$6:C16)</f>
        <v>0</v>
      </c>
      <c r="I15" s="49">
        <f t="shared" si="1"/>
        <v>0</v>
      </c>
      <c r="J15" s="46">
        <f>+AVERAGE($D$6:D16)</f>
        <v>0</v>
      </c>
      <c r="K15" s="43" t="str">
        <f t="shared" si="2"/>
        <v>Sin eventos registrados</v>
      </c>
    </row>
    <row r="16" spans="1:18">
      <c r="A16" s="4">
        <v>45962</v>
      </c>
      <c r="B16" s="5">
        <v>0</v>
      </c>
      <c r="C16" s="41">
        <f t="shared" si="4"/>
        <v>0</v>
      </c>
      <c r="D16" s="203">
        <v>0</v>
      </c>
      <c r="E16" s="5">
        <v>0</v>
      </c>
      <c r="F16" s="38" t="e">
        <f t="shared" si="0"/>
        <v>#DIV/0!</v>
      </c>
      <c r="G16" s="37" t="e">
        <f t="shared" si="3"/>
        <v>#DIV/0!</v>
      </c>
      <c r="H16" s="49">
        <f>+SUM($D$6:D17)*1000000/SUM($C$6:C17)</f>
        <v>0</v>
      </c>
      <c r="I16" s="49">
        <f t="shared" si="1"/>
        <v>0</v>
      </c>
      <c r="J16" s="46">
        <f>+AVERAGE($D$6:D17)</f>
        <v>0</v>
      </c>
      <c r="K16" s="43" t="str">
        <f t="shared" si="2"/>
        <v>Sin eventos registrados</v>
      </c>
    </row>
    <row r="17" spans="1:12">
      <c r="A17" s="4">
        <v>45992</v>
      </c>
      <c r="B17" s="5">
        <v>0</v>
      </c>
      <c r="C17" s="41">
        <f t="shared" si="4"/>
        <v>0</v>
      </c>
      <c r="D17" s="203">
        <v>0</v>
      </c>
      <c r="E17" s="5">
        <v>0</v>
      </c>
      <c r="F17" s="38" t="e">
        <f t="shared" si="0"/>
        <v>#DIV/0!</v>
      </c>
      <c r="G17" s="37" t="e">
        <f t="shared" si="3"/>
        <v>#DIV/0!</v>
      </c>
      <c r="H17" s="49">
        <f>+SUM($D$6:D18)*1000000/SUM($C$6:C18)</f>
        <v>0</v>
      </c>
      <c r="I17" s="49">
        <f t="shared" si="1"/>
        <v>0</v>
      </c>
      <c r="J17" s="46">
        <f>+AVERAGE($D$6:D18)</f>
        <v>0</v>
      </c>
      <c r="K17" s="43" t="str">
        <f t="shared" si="2"/>
        <v>Sin eventos registrados</v>
      </c>
    </row>
    <row r="18" spans="1:12">
      <c r="A18" s="4"/>
      <c r="B18" s="5">
        <v>0</v>
      </c>
      <c r="C18" s="5"/>
      <c r="D18" s="5"/>
      <c r="E18" s="5"/>
      <c r="F18" s="38"/>
      <c r="G18" s="37"/>
    </row>
    <row r="19" spans="1:12">
      <c r="A19" s="3" t="s">
        <v>326</v>
      </c>
      <c r="B19" s="5">
        <f>SUM(B6:B17)/12</f>
        <v>0.83333333333333337</v>
      </c>
      <c r="C19" s="5">
        <f>SUM(C6:C17)</f>
        <v>2000</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241D2-4C29-4B2E-8F07-7EB3CAE0FE40}">
  <sheetPr>
    <tabColor theme="1"/>
    <pageSetUpPr fitToPage="1"/>
  </sheetPr>
  <dimension ref="A1:R59"/>
  <sheetViews>
    <sheetView workbookViewId="0">
      <selection activeCell="F4" sqref="F4"/>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2025</v>
      </c>
      <c r="P1" s="1"/>
      <c r="Q1" s="9"/>
      <c r="R1" s="12"/>
    </row>
    <row r="2" spans="1:18" ht="22.15">
      <c r="A2" s="14" t="s">
        <v>29</v>
      </c>
      <c r="C2" s="9"/>
      <c r="F2" s="11"/>
      <c r="P2" s="1"/>
      <c r="Q2" s="9"/>
      <c r="R2" s="12"/>
    </row>
    <row r="3" spans="1:18" ht="21" customHeight="1">
      <c r="C3" s="9" t="s">
        <v>314</v>
      </c>
      <c r="H3" s="47" t="s">
        <v>315</v>
      </c>
      <c r="I3" s="47"/>
      <c r="K3" s="47" t="s">
        <v>315</v>
      </c>
    </row>
    <row r="4" spans="1:18" ht="118.9">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45658</v>
      </c>
      <c r="B6" s="5">
        <v>5</v>
      </c>
      <c r="C6" s="41">
        <v>200</v>
      </c>
      <c r="D6" s="203">
        <v>0</v>
      </c>
      <c r="E6" s="5">
        <v>0</v>
      </c>
      <c r="F6" s="38">
        <f>D6*1000/B6*12</f>
        <v>0</v>
      </c>
      <c r="G6" s="37">
        <f>D6*1000000/C6</f>
        <v>0</v>
      </c>
      <c r="H6" s="49">
        <f>+D7*1000000/C7</f>
        <v>0</v>
      </c>
      <c r="I6" s="49">
        <f>+H6/1000</f>
        <v>0</v>
      </c>
      <c r="J6" s="46">
        <f>+AVERAGE($D$6:D7)</f>
        <v>0</v>
      </c>
      <c r="K6" s="43" t="str">
        <f>+IF(J6=0,"Sin eventos registrados",30/J6)</f>
        <v>Sin eventos registrados</v>
      </c>
    </row>
    <row r="7" spans="1:18">
      <c r="A7" s="4">
        <v>45689</v>
      </c>
      <c r="B7" s="5">
        <v>5</v>
      </c>
      <c r="C7" s="41">
        <v>200</v>
      </c>
      <c r="D7" s="203">
        <v>0</v>
      </c>
      <c r="E7" s="5">
        <v>0</v>
      </c>
      <c r="F7" s="38">
        <f t="shared" ref="F7:F17" si="0">D7*1000/B7*12</f>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45717</v>
      </c>
      <c r="B8" s="5">
        <v>0</v>
      </c>
      <c r="C8" s="41">
        <f>B8*200</f>
        <v>0</v>
      </c>
      <c r="D8" s="203">
        <v>0</v>
      </c>
      <c r="E8" s="5">
        <v>0</v>
      </c>
      <c r="F8" s="38" t="e">
        <f t="shared" si="0"/>
        <v>#DIV/0!</v>
      </c>
      <c r="G8" s="37" t="e">
        <f>D8*1000000/C8</f>
        <v>#DIV/0!</v>
      </c>
      <c r="H8" s="49">
        <f>+SUM($D$6:D9)*1000000/SUM($C$6:C9)</f>
        <v>0</v>
      </c>
      <c r="I8" s="49">
        <f t="shared" si="1"/>
        <v>0</v>
      </c>
      <c r="J8" s="46">
        <f>+AVERAGE($D$6:D9)</f>
        <v>0</v>
      </c>
      <c r="K8" s="43" t="str">
        <f t="shared" si="2"/>
        <v>Sin eventos registrados</v>
      </c>
    </row>
    <row r="9" spans="1:18">
      <c r="A9" s="4">
        <v>45748</v>
      </c>
      <c r="B9" s="5">
        <v>0</v>
      </c>
      <c r="C9" s="41">
        <f t="shared" ref="C7:C16" si="3">B9*8*22</f>
        <v>0</v>
      </c>
      <c r="D9" s="203">
        <v>0</v>
      </c>
      <c r="E9" s="5">
        <v>0</v>
      </c>
      <c r="F9" s="38" t="e">
        <f t="shared" si="0"/>
        <v>#DIV/0!</v>
      </c>
      <c r="G9" s="37" t="e">
        <f>D9*1000000/C9</f>
        <v>#DIV/0!</v>
      </c>
      <c r="H9" s="49">
        <f>+SUM($D$6:D10)*1000000/SUM($C$6:C10)</f>
        <v>0</v>
      </c>
      <c r="I9" s="49">
        <f>+H9/1000</f>
        <v>0</v>
      </c>
      <c r="J9" s="46">
        <f>+AVERAGE($D$6:D10)</f>
        <v>0</v>
      </c>
      <c r="K9" s="43" t="str">
        <f>+IF(J9=0,"Sin eventos registrados",30/J9)</f>
        <v>Sin eventos registrados</v>
      </c>
    </row>
    <row r="10" spans="1:18">
      <c r="A10" s="4">
        <v>45778</v>
      </c>
      <c r="B10" s="5">
        <v>0</v>
      </c>
      <c r="C10" s="41">
        <f t="shared" si="3"/>
        <v>0</v>
      </c>
      <c r="D10" s="203">
        <v>0</v>
      </c>
      <c r="E10" s="5">
        <v>0</v>
      </c>
      <c r="F10" s="38"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45809</v>
      </c>
      <c r="B11" s="5">
        <v>0</v>
      </c>
      <c r="C11" s="41">
        <f t="shared" si="3"/>
        <v>0</v>
      </c>
      <c r="D11" s="203">
        <v>0</v>
      </c>
      <c r="E11" s="5">
        <v>0</v>
      </c>
      <c r="F11" s="38" t="e">
        <f>D11*1000/B11</f>
        <v>#DIV/0!</v>
      </c>
      <c r="G11" s="37" t="e">
        <f>D11*1000000/C11</f>
        <v>#DIV/0!</v>
      </c>
      <c r="H11" s="49">
        <f>+SUM($D$6:D12)*1000000/SUM($C$6:C12)</f>
        <v>0</v>
      </c>
      <c r="I11" s="49">
        <f t="shared" si="1"/>
        <v>0</v>
      </c>
      <c r="J11" s="46">
        <f>+AVERAGE($D$6:D12)</f>
        <v>0</v>
      </c>
      <c r="K11" s="43" t="str">
        <f t="shared" si="2"/>
        <v>Sin eventos registrados</v>
      </c>
    </row>
    <row r="12" spans="1:18">
      <c r="A12" s="4">
        <v>45839</v>
      </c>
      <c r="B12" s="5">
        <v>0</v>
      </c>
      <c r="C12" s="41">
        <f>B12*200</f>
        <v>0</v>
      </c>
      <c r="D12" s="203">
        <v>0</v>
      </c>
      <c r="E12" s="5">
        <v>0</v>
      </c>
      <c r="F12" s="38" t="e">
        <f>D12*1000/B12*12</f>
        <v>#DIV/0!</v>
      </c>
      <c r="G12" s="37" t="e">
        <f t="shared" si="4"/>
        <v>#DIV/0!</v>
      </c>
      <c r="H12" s="49">
        <f>+SUM($D$6:D13)*1000000/SUM($C$6:C13)</f>
        <v>0</v>
      </c>
      <c r="I12" s="49">
        <f t="shared" si="1"/>
        <v>0</v>
      </c>
      <c r="J12" s="46">
        <f>+AVERAGE($D$6:D13)</f>
        <v>0</v>
      </c>
      <c r="K12" s="43" t="str">
        <f t="shared" si="2"/>
        <v>Sin eventos registrados</v>
      </c>
    </row>
    <row r="13" spans="1:18">
      <c r="A13" s="4">
        <v>45870</v>
      </c>
      <c r="B13" s="5">
        <v>0</v>
      </c>
      <c r="C13" s="41">
        <f t="shared" si="3"/>
        <v>0</v>
      </c>
      <c r="D13" s="203">
        <v>0</v>
      </c>
      <c r="E13" s="5">
        <v>0</v>
      </c>
      <c r="F13" s="38" t="e">
        <f t="shared" si="0"/>
        <v>#DIV/0!</v>
      </c>
      <c r="G13" s="37" t="e">
        <f t="shared" si="4"/>
        <v>#DIV/0!</v>
      </c>
      <c r="H13" s="49">
        <f>+SUM($D$6:D14)*1000000/SUM($C$6:C14)</f>
        <v>0</v>
      </c>
      <c r="I13" s="49">
        <f>+H13/1000</f>
        <v>0</v>
      </c>
      <c r="J13" s="46">
        <f>+AVERAGE($D$6:D14)</f>
        <v>0</v>
      </c>
      <c r="K13" s="43" t="str">
        <f t="shared" si="2"/>
        <v>Sin eventos registrados</v>
      </c>
    </row>
    <row r="14" spans="1:18">
      <c r="A14" s="4">
        <v>45901</v>
      </c>
      <c r="B14" s="5">
        <v>0</v>
      </c>
      <c r="C14" s="41">
        <f t="shared" si="3"/>
        <v>0</v>
      </c>
      <c r="D14" s="203">
        <v>0</v>
      </c>
      <c r="E14" s="5">
        <v>0</v>
      </c>
      <c r="F14" s="38" t="e">
        <f t="shared" si="0"/>
        <v>#DIV/0!</v>
      </c>
      <c r="G14" s="37" t="e">
        <f t="shared" si="4"/>
        <v>#DIV/0!</v>
      </c>
      <c r="H14" s="49">
        <f>+SUM($D$6:D15)*1000000/SUM($C$6:C15)</f>
        <v>0</v>
      </c>
      <c r="I14" s="49">
        <f t="shared" si="1"/>
        <v>0</v>
      </c>
      <c r="J14" s="46">
        <f>+AVERAGE($D$6:D15)</f>
        <v>0</v>
      </c>
      <c r="K14" s="43" t="str">
        <f t="shared" si="2"/>
        <v>Sin eventos registrados</v>
      </c>
    </row>
    <row r="15" spans="1:18">
      <c r="A15" s="4">
        <v>45931</v>
      </c>
      <c r="B15" s="5">
        <v>0</v>
      </c>
      <c r="C15" s="41">
        <f t="shared" si="3"/>
        <v>0</v>
      </c>
      <c r="D15" s="203">
        <v>0</v>
      </c>
      <c r="E15" s="5">
        <v>0</v>
      </c>
      <c r="F15" s="38" t="e">
        <f t="shared" si="0"/>
        <v>#DIV/0!</v>
      </c>
      <c r="G15" s="37" t="e">
        <f t="shared" si="4"/>
        <v>#DIV/0!</v>
      </c>
      <c r="H15" s="49">
        <f>+SUM($D$6:D16)*1000000/SUM($C$6:C16)</f>
        <v>0</v>
      </c>
      <c r="I15" s="49">
        <f t="shared" si="1"/>
        <v>0</v>
      </c>
      <c r="J15" s="46">
        <f>+AVERAGE($D$6:D16)</f>
        <v>0</v>
      </c>
      <c r="K15" s="43" t="str">
        <f t="shared" si="2"/>
        <v>Sin eventos registrados</v>
      </c>
    </row>
    <row r="16" spans="1:18">
      <c r="A16" s="4">
        <v>45962</v>
      </c>
      <c r="B16" s="5">
        <v>0</v>
      </c>
      <c r="C16" s="41">
        <f t="shared" si="3"/>
        <v>0</v>
      </c>
      <c r="D16" s="203">
        <v>0</v>
      </c>
      <c r="E16" s="5">
        <v>0</v>
      </c>
      <c r="F16" s="38" t="e">
        <f t="shared" si="0"/>
        <v>#DIV/0!</v>
      </c>
      <c r="G16" s="37" t="e">
        <f t="shared" si="4"/>
        <v>#DIV/0!</v>
      </c>
      <c r="H16" s="49">
        <f>+SUM($D$6:D17)*1000000/SUM($C$6:C17)</f>
        <v>0</v>
      </c>
      <c r="I16" s="49">
        <f t="shared" si="1"/>
        <v>0</v>
      </c>
      <c r="J16" s="46">
        <f>+AVERAGE($D$6:D17)</f>
        <v>0</v>
      </c>
      <c r="K16" s="43" t="str">
        <f t="shared" si="2"/>
        <v>Sin eventos registrados</v>
      </c>
    </row>
    <row r="17" spans="1:12">
      <c r="A17" s="4">
        <v>45992</v>
      </c>
      <c r="B17" s="5">
        <v>0</v>
      </c>
      <c r="C17" s="41">
        <f>B17*200</f>
        <v>0</v>
      </c>
      <c r="D17" s="203">
        <v>0</v>
      </c>
      <c r="E17" s="5">
        <v>0</v>
      </c>
      <c r="F17" s="38" t="e">
        <f t="shared" si="0"/>
        <v>#DIV/0!</v>
      </c>
      <c r="G17" s="37" t="e">
        <f t="shared" si="4"/>
        <v>#DIV/0!</v>
      </c>
      <c r="H17" s="49">
        <f>+SUM($D$6:D18)*1000000/SUM($C$6:C18)</f>
        <v>0</v>
      </c>
      <c r="I17" s="49">
        <f t="shared" si="1"/>
        <v>0</v>
      </c>
      <c r="J17" s="46">
        <f>+AVERAGE($D$6:D18)</f>
        <v>0</v>
      </c>
      <c r="K17" s="43" t="str">
        <f t="shared" si="2"/>
        <v>Sin eventos registrados</v>
      </c>
    </row>
    <row r="18" spans="1:12">
      <c r="A18" s="4"/>
      <c r="B18" s="5">
        <v>0</v>
      </c>
      <c r="C18" s="5"/>
      <c r="D18" s="5"/>
      <c r="E18" s="5"/>
      <c r="F18" s="38"/>
      <c r="G18" s="37"/>
    </row>
    <row r="19" spans="1:12">
      <c r="A19" s="3" t="s">
        <v>326</v>
      </c>
      <c r="B19" s="5">
        <f>SUM(B6:B17)/12</f>
        <v>0.83333333333333337</v>
      </c>
      <c r="C19" s="5">
        <f>SUM(C6:C17)</f>
        <v>400</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R59"/>
  <sheetViews>
    <sheetView workbookViewId="0">
      <selection activeCell="I22" sqref="I22"/>
    </sheetView>
  </sheetViews>
  <sheetFormatPr defaultColWidth="11.42578125" defaultRowHeight="13.15"/>
  <cols>
    <col min="1" max="2" width="14.28515625" customWidth="1"/>
    <col min="3" max="3" width="21.42578125" customWidth="1"/>
    <col min="4" max="5" width="14.28515625" customWidth="1"/>
    <col min="6" max="6" width="14.28515625" style="2" customWidth="1"/>
    <col min="8" max="8" width="30.7109375" bestFit="1" customWidth="1"/>
    <col min="9" max="9" width="18.7109375" customWidth="1"/>
    <col min="10" max="10" width="26.85546875" bestFit="1" customWidth="1"/>
    <col min="11" max="11" width="34.7109375" bestFit="1" customWidth="1"/>
    <col min="16" max="16" width="21.7109375" customWidth="1"/>
    <col min="17" max="17" width="24.7109375" customWidth="1"/>
  </cols>
  <sheetData>
    <row r="1" spans="1:18" ht="41.25" customHeight="1">
      <c r="A1" s="13"/>
      <c r="C1" s="25" t="s">
        <v>312</v>
      </c>
      <c r="F1" s="15">
        <v>2024</v>
      </c>
      <c r="P1" s="1"/>
      <c r="Q1" s="9"/>
      <c r="R1" s="12"/>
    </row>
    <row r="2" spans="1:18" ht="22.15">
      <c r="A2" s="14" t="s">
        <v>18</v>
      </c>
      <c r="C2" s="9"/>
      <c r="F2" s="11"/>
      <c r="P2" s="1"/>
      <c r="Q2" s="9"/>
      <c r="R2" s="12"/>
    </row>
    <row r="3" spans="1:18" ht="21" customHeight="1">
      <c r="C3" s="9" t="s">
        <v>314</v>
      </c>
      <c r="H3" s="47" t="s">
        <v>315</v>
      </c>
      <c r="I3" s="47"/>
      <c r="K3" s="47" t="s">
        <v>315</v>
      </c>
    </row>
    <row r="4" spans="1:18" ht="52.9">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20</v>
      </c>
      <c r="C6" s="5">
        <v>4176</v>
      </c>
      <c r="D6" s="5">
        <v>1</v>
      </c>
      <c r="E6" s="5">
        <v>9</v>
      </c>
      <c r="F6" s="5">
        <f t="shared" ref="F6:F17" si="0">D6*1000/B6*12</f>
        <v>600</v>
      </c>
      <c r="G6" s="37">
        <f>D6*1000000/C6</f>
        <v>239.46360153256705</v>
      </c>
      <c r="H6" s="49">
        <f>+D7*1000000/C7</f>
        <v>0</v>
      </c>
      <c r="I6" s="49">
        <f>+H6/1000</f>
        <v>0</v>
      </c>
      <c r="J6" s="46">
        <f>+AVERAGE($D$6:D7)</f>
        <v>0.5</v>
      </c>
      <c r="K6" s="43">
        <f>+IF(J6=0,"Sin eventos registrados",30/J6)</f>
        <v>60</v>
      </c>
    </row>
    <row r="7" spans="1:18">
      <c r="A7" s="4">
        <v>45323</v>
      </c>
      <c r="B7" s="5">
        <v>21</v>
      </c>
      <c r="C7" s="5">
        <v>4384</v>
      </c>
      <c r="D7" s="5">
        <v>0</v>
      </c>
      <c r="E7" s="5">
        <v>0</v>
      </c>
      <c r="F7" s="5">
        <f t="shared" si="0"/>
        <v>0</v>
      </c>
      <c r="G7" s="37">
        <f>D7*1000000/C7</f>
        <v>0</v>
      </c>
      <c r="H7" s="49">
        <f>+SUM($D$6:D8)*1000000/SUM($C$6:C8)</f>
        <v>76.92307692307692</v>
      </c>
      <c r="I7" s="49">
        <f t="shared" ref="I7:I17" si="1">+H7/1000</f>
        <v>7.6923076923076913E-2</v>
      </c>
      <c r="J7" s="46">
        <f>+AVERAGE($D$6:D8)</f>
        <v>0.33333333333333331</v>
      </c>
      <c r="K7" s="43">
        <f t="shared" ref="K7:K17" si="2">+IF(J7=0,"Sin eventos registrados",30/J7)</f>
        <v>90</v>
      </c>
    </row>
    <row r="8" spans="1:18">
      <c r="A8" s="4">
        <v>45352</v>
      </c>
      <c r="B8" s="5">
        <v>20</v>
      </c>
      <c r="C8" s="5">
        <v>4440</v>
      </c>
      <c r="D8" s="5">
        <v>0</v>
      </c>
      <c r="E8" s="5">
        <v>0</v>
      </c>
      <c r="F8" s="5">
        <f t="shared" si="0"/>
        <v>0</v>
      </c>
      <c r="G8" s="37">
        <f>D8*1000000/C8</f>
        <v>0</v>
      </c>
      <c r="H8" s="49">
        <f>+SUM($D$6:D9)*1000000/SUM($C$6:C9)</f>
        <v>56.458897922312559</v>
      </c>
      <c r="I8" s="49">
        <f t="shared" si="1"/>
        <v>5.6458897922312561E-2</v>
      </c>
      <c r="J8" s="46">
        <f>+AVERAGE($D$6:D9)</f>
        <v>0.25</v>
      </c>
      <c r="K8" s="43">
        <f t="shared" si="2"/>
        <v>120</v>
      </c>
    </row>
    <row r="9" spans="1:18">
      <c r="A9" s="4">
        <v>45383</v>
      </c>
      <c r="B9" s="5">
        <v>20</v>
      </c>
      <c r="C9" s="5">
        <v>4712</v>
      </c>
      <c r="D9" s="5">
        <v>0</v>
      </c>
      <c r="E9" s="5">
        <v>0</v>
      </c>
      <c r="F9" s="5">
        <f t="shared" si="0"/>
        <v>0</v>
      </c>
      <c r="G9" s="37">
        <f>D9*1000000/C9</f>
        <v>0</v>
      </c>
      <c r="H9" s="49">
        <f>+SUM($D$6:D10)*1000000/SUM($C$6:C10)</f>
        <v>56.458897922312559</v>
      </c>
      <c r="I9" s="49">
        <f>+H9/1000</f>
        <v>5.6458897922312561E-2</v>
      </c>
      <c r="J9" s="46">
        <f>+AVERAGE($D$6:D10)</f>
        <v>0.2</v>
      </c>
      <c r="K9" s="43">
        <f>+IF(J9=0,"Sin eventos registrados",30/J9)</f>
        <v>150</v>
      </c>
    </row>
    <row r="10" spans="1:18">
      <c r="A10" s="4">
        <v>45413</v>
      </c>
      <c r="B10" s="5">
        <v>0</v>
      </c>
      <c r="C10" s="5">
        <f t="shared" ref="C10:C17" si="3">B10*8*22</f>
        <v>0</v>
      </c>
      <c r="D10" s="5">
        <v>0</v>
      </c>
      <c r="E10" s="5">
        <v>0</v>
      </c>
      <c r="F10" s="5" t="e">
        <f t="shared" si="0"/>
        <v>#DIV/0!</v>
      </c>
      <c r="G10" s="37" t="e">
        <f t="shared" ref="G10:G17" si="4">D10*1000000/C10</f>
        <v>#DIV/0!</v>
      </c>
      <c r="H10" s="49">
        <f>+SUM($D$6:D11)*1000000/SUM($C$6:C11)</f>
        <v>56.458897922312559</v>
      </c>
      <c r="I10" s="49">
        <f t="shared" si="1"/>
        <v>5.6458897922312561E-2</v>
      </c>
      <c r="J10" s="46">
        <f>+AVERAGE($D$6:D11)</f>
        <v>0.16666666666666666</v>
      </c>
      <c r="K10" s="43">
        <f>+IF(J10=0,"Sin eventos registrados",30/J10)</f>
        <v>180</v>
      </c>
    </row>
    <row r="11" spans="1:18">
      <c r="A11" s="4">
        <v>45444</v>
      </c>
      <c r="B11" s="5">
        <v>0</v>
      </c>
      <c r="C11" s="5">
        <f t="shared" si="3"/>
        <v>0</v>
      </c>
      <c r="D11" s="5">
        <v>0</v>
      </c>
      <c r="E11" s="5">
        <v>0</v>
      </c>
      <c r="F11" s="5" t="e">
        <f t="shared" si="0"/>
        <v>#DIV/0!</v>
      </c>
      <c r="G11" s="37" t="e">
        <f>D11*1000000/C11</f>
        <v>#DIV/0!</v>
      </c>
      <c r="H11" s="49">
        <f>+SUM($D$6:D12)*1000000/SUM($C$6:C12)</f>
        <v>56.458897922312559</v>
      </c>
      <c r="I11" s="49">
        <f t="shared" si="1"/>
        <v>5.6458897922312561E-2</v>
      </c>
      <c r="J11" s="46">
        <f>+AVERAGE($D$6:D12)</f>
        <v>0.14285714285714285</v>
      </c>
      <c r="K11" s="43">
        <f t="shared" si="2"/>
        <v>210</v>
      </c>
    </row>
    <row r="12" spans="1:18">
      <c r="A12" s="4">
        <v>45474</v>
      </c>
      <c r="B12" s="5">
        <v>0</v>
      </c>
      <c r="C12" s="5">
        <f t="shared" si="3"/>
        <v>0</v>
      </c>
      <c r="D12" s="5">
        <v>0</v>
      </c>
      <c r="E12" s="5">
        <v>0</v>
      </c>
      <c r="F12" s="5" t="e">
        <f>D12*1000/B12</f>
        <v>#DIV/0!</v>
      </c>
      <c r="G12" s="37" t="e">
        <f>D12*1000000/C12</f>
        <v>#DIV/0!</v>
      </c>
      <c r="H12" s="49">
        <f>+SUM($D$6:D13)*1000000/SUM($C$6:C13)</f>
        <v>56.458897922312559</v>
      </c>
      <c r="I12" s="49">
        <f t="shared" si="1"/>
        <v>5.6458897922312561E-2</v>
      </c>
      <c r="J12" s="46">
        <f>+AVERAGE($D$6:D13)</f>
        <v>0.125</v>
      </c>
      <c r="K12" s="43">
        <f t="shared" si="2"/>
        <v>240</v>
      </c>
    </row>
    <row r="13" spans="1:18">
      <c r="A13" s="4">
        <v>45505</v>
      </c>
      <c r="B13" s="5">
        <v>0</v>
      </c>
      <c r="C13" s="5">
        <f t="shared" si="3"/>
        <v>0</v>
      </c>
      <c r="D13" s="5">
        <v>0</v>
      </c>
      <c r="E13" s="5">
        <v>0</v>
      </c>
      <c r="F13" s="5" t="e">
        <f>D13*1000/B13*12</f>
        <v>#DIV/0!</v>
      </c>
      <c r="G13" s="37" t="e">
        <f t="shared" si="4"/>
        <v>#DIV/0!</v>
      </c>
      <c r="H13" s="49">
        <f>+SUM($D$6:D14)*1000000/SUM($C$6:C14)</f>
        <v>56.458897922312559</v>
      </c>
      <c r="I13" s="49">
        <f>+H13/1000</f>
        <v>5.6458897922312561E-2</v>
      </c>
      <c r="J13" s="46">
        <f>+AVERAGE($D$6:D14)</f>
        <v>0.1111111111111111</v>
      </c>
      <c r="K13" s="43">
        <f t="shared" si="2"/>
        <v>270</v>
      </c>
    </row>
    <row r="14" spans="1:18">
      <c r="A14" s="4">
        <v>45536</v>
      </c>
      <c r="B14" s="5">
        <v>0</v>
      </c>
      <c r="C14" s="5">
        <f t="shared" si="3"/>
        <v>0</v>
      </c>
      <c r="D14" s="5">
        <v>0</v>
      </c>
      <c r="E14" s="5">
        <v>0</v>
      </c>
      <c r="F14" s="5" t="e">
        <f t="shared" si="0"/>
        <v>#DIV/0!</v>
      </c>
      <c r="G14" s="37" t="e">
        <f t="shared" si="4"/>
        <v>#DIV/0!</v>
      </c>
      <c r="H14" s="49">
        <f>+SUM($D$6:D15)*1000000/SUM($C$6:C15)</f>
        <v>56.458897922312559</v>
      </c>
      <c r="I14" s="49">
        <f t="shared" si="1"/>
        <v>5.6458897922312561E-2</v>
      </c>
      <c r="J14" s="46">
        <f>+AVERAGE($D$6:D15)</f>
        <v>0.1</v>
      </c>
      <c r="K14" s="43">
        <f t="shared" si="2"/>
        <v>300</v>
      </c>
    </row>
    <row r="15" spans="1:18">
      <c r="A15" s="4">
        <v>45566</v>
      </c>
      <c r="B15" s="5">
        <v>0</v>
      </c>
      <c r="C15" s="5">
        <f t="shared" si="3"/>
        <v>0</v>
      </c>
      <c r="D15" s="5">
        <v>0</v>
      </c>
      <c r="E15" s="5">
        <v>0</v>
      </c>
      <c r="F15" s="5" t="e">
        <f t="shared" si="0"/>
        <v>#DIV/0!</v>
      </c>
      <c r="G15" s="37" t="e">
        <f t="shared" si="4"/>
        <v>#DIV/0!</v>
      </c>
      <c r="H15" s="49">
        <f>+SUM($D$6:D16)*1000000/SUM($C$6:C16)</f>
        <v>56.458897922312559</v>
      </c>
      <c r="I15" s="49">
        <f t="shared" si="1"/>
        <v>5.6458897922312561E-2</v>
      </c>
      <c r="J15" s="46">
        <f>+AVERAGE($D$6:D16)</f>
        <v>9.0909090909090912E-2</v>
      </c>
      <c r="K15" s="43">
        <f t="shared" si="2"/>
        <v>330</v>
      </c>
    </row>
    <row r="16" spans="1:18">
      <c r="A16" s="4">
        <v>45597</v>
      </c>
      <c r="B16" s="5">
        <v>0</v>
      </c>
      <c r="C16" s="5">
        <f t="shared" si="3"/>
        <v>0</v>
      </c>
      <c r="D16" s="5">
        <v>0</v>
      </c>
      <c r="E16" s="5">
        <v>0</v>
      </c>
      <c r="F16" s="5" t="e">
        <f t="shared" si="0"/>
        <v>#DIV/0!</v>
      </c>
      <c r="G16" s="37" t="e">
        <f t="shared" si="4"/>
        <v>#DIV/0!</v>
      </c>
      <c r="H16" s="49">
        <f>+SUM($D$6:D17)*1000000/SUM($C$6:C17)</f>
        <v>56.458897922312559</v>
      </c>
      <c r="I16" s="49">
        <f t="shared" si="1"/>
        <v>5.6458897922312561E-2</v>
      </c>
      <c r="J16" s="46">
        <f>+AVERAGE($D$6:D17)</f>
        <v>8.3333333333333329E-2</v>
      </c>
      <c r="K16" s="43">
        <f t="shared" si="2"/>
        <v>360</v>
      </c>
    </row>
    <row r="17" spans="1:12">
      <c r="A17" s="4">
        <v>45627</v>
      </c>
      <c r="B17" s="5">
        <v>0</v>
      </c>
      <c r="C17" s="5">
        <f t="shared" si="3"/>
        <v>0</v>
      </c>
      <c r="D17" s="5">
        <v>0</v>
      </c>
      <c r="E17" s="5">
        <v>0</v>
      </c>
      <c r="F17" s="5" t="e">
        <f t="shared" si="0"/>
        <v>#DIV/0!</v>
      </c>
      <c r="G17" s="37" t="e">
        <f t="shared" si="4"/>
        <v>#DIV/0!</v>
      </c>
      <c r="H17" s="49">
        <f>+SUM($D$6:D18)*1000000/SUM($C$6:C18)</f>
        <v>56.458897922312559</v>
      </c>
      <c r="I17" s="49">
        <f t="shared" si="1"/>
        <v>5.6458897922312561E-2</v>
      </c>
      <c r="J17" s="46">
        <f>+AVERAGE($D$6:D18)</f>
        <v>8.3333333333333329E-2</v>
      </c>
      <c r="K17" s="43">
        <f t="shared" si="2"/>
        <v>360</v>
      </c>
    </row>
    <row r="18" spans="1:12">
      <c r="A18" s="4"/>
      <c r="B18" s="5"/>
      <c r="C18" s="5"/>
      <c r="D18" s="5"/>
      <c r="E18" s="5"/>
      <c r="F18" s="5"/>
    </row>
    <row r="19" spans="1:12">
      <c r="A19" s="3" t="s">
        <v>326</v>
      </c>
      <c r="B19" s="5">
        <f>SUM(B6:B17)/12</f>
        <v>6.75</v>
      </c>
      <c r="C19" s="5">
        <f>SUM(C6:C17)</f>
        <v>17712</v>
      </c>
      <c r="D19" s="5">
        <f>SUM(D6:D17)</f>
        <v>1</v>
      </c>
      <c r="E19" s="10">
        <f>SUM(E6:E17)</f>
        <v>9</v>
      </c>
      <c r="F19" s="5">
        <f>D19*1000/B19</f>
        <v>148.14814814814815</v>
      </c>
    </row>
    <row r="20" spans="1:12">
      <c r="A20" s="2"/>
    </row>
    <row r="21" spans="1:12">
      <c r="A21" s="2"/>
    </row>
    <row r="22" spans="1:12" ht="18" customHeight="1">
      <c r="A22" s="16" t="s">
        <v>327</v>
      </c>
      <c r="B22" s="6"/>
      <c r="C22" s="7" t="s">
        <v>328</v>
      </c>
      <c r="D22" s="18" t="s">
        <v>329</v>
      </c>
      <c r="E22" s="20">
        <f>D19*1000/B19</f>
        <v>148.14814814814815</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56.458897922312559</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1.3333333333333333</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pageSetUpPr fitToPage="1"/>
  </sheetPr>
  <dimension ref="A1:R59"/>
  <sheetViews>
    <sheetView workbookViewId="0">
      <selection activeCell="C26" sqref="C26"/>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5703125" bestFit="1" customWidth="1"/>
    <col min="8" max="8" width="22" customWidth="1"/>
    <col min="9" max="9" width="18.57031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2024</v>
      </c>
      <c r="P1" s="1"/>
      <c r="Q1" s="9"/>
      <c r="R1" s="12"/>
    </row>
    <row r="2" spans="1:18" ht="22.15">
      <c r="A2" s="14" t="s">
        <v>19</v>
      </c>
      <c r="C2" s="9"/>
      <c r="F2" s="11"/>
      <c r="P2" s="1"/>
      <c r="Q2" s="9"/>
      <c r="R2" s="12"/>
    </row>
    <row r="3" spans="1:18" ht="21" customHeight="1">
      <c r="C3" s="9" t="s">
        <v>314</v>
      </c>
      <c r="H3" s="47" t="s">
        <v>315</v>
      </c>
      <c r="I3" s="47"/>
      <c r="K3" s="47" t="s">
        <v>315</v>
      </c>
    </row>
    <row r="4" spans="1:18" ht="52.9">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13</v>
      </c>
      <c r="C6" s="5">
        <v>2398</v>
      </c>
      <c r="D6" s="5">
        <v>1</v>
      </c>
      <c r="E6" s="5">
        <v>4</v>
      </c>
      <c r="F6" s="5">
        <f t="shared" ref="F6:F17" si="0">D6*1000/B6*12</f>
        <v>923.07692307692309</v>
      </c>
      <c r="G6" s="37">
        <f>D6*1000000/C6</f>
        <v>417.01417848206842</v>
      </c>
      <c r="H6" s="49">
        <f>+D7*1000000/C7</f>
        <v>0</v>
      </c>
      <c r="I6" s="49">
        <f>+H6/1000</f>
        <v>0</v>
      </c>
      <c r="J6" s="46">
        <f>+AVERAGE($D$6:D7)</f>
        <v>0.5</v>
      </c>
      <c r="K6" s="43">
        <f>+IF(J6=0,"Sin eventos registrados",30/J6)</f>
        <v>60</v>
      </c>
    </row>
    <row r="7" spans="1:18">
      <c r="A7" s="4">
        <v>45323</v>
      </c>
      <c r="B7" s="5">
        <v>13</v>
      </c>
      <c r="C7" s="5">
        <v>2696</v>
      </c>
      <c r="D7" s="5">
        <v>0</v>
      </c>
      <c r="E7" s="5">
        <v>2</v>
      </c>
      <c r="F7" s="5">
        <f t="shared" si="0"/>
        <v>0</v>
      </c>
      <c r="G7" s="37">
        <f>D7*1000000/C7</f>
        <v>0</v>
      </c>
      <c r="H7" s="49">
        <f>+SUM($D$6:D8)*1000000/SUM($C$6:C8)</f>
        <v>135.46464372798698</v>
      </c>
      <c r="I7" s="49">
        <f t="shared" ref="I7:I17" si="1">+H7/1000</f>
        <v>0.13546464372798697</v>
      </c>
      <c r="J7" s="46">
        <f>+AVERAGE($D$6:D8)</f>
        <v>0.33333333333333331</v>
      </c>
      <c r="K7" s="43">
        <f t="shared" ref="K7:K17" si="2">+IF(J7=0,"Sin eventos registrados",30/J7)</f>
        <v>90</v>
      </c>
    </row>
    <row r="8" spans="1:18">
      <c r="A8" s="4">
        <v>45352</v>
      </c>
      <c r="B8" s="5">
        <v>13</v>
      </c>
      <c r="C8" s="5">
        <f t="shared" ref="C8:C17" si="3">B8*22*8</f>
        <v>2288</v>
      </c>
      <c r="D8" s="5">
        <v>0</v>
      </c>
      <c r="E8" s="5">
        <v>0</v>
      </c>
      <c r="F8" s="5">
        <f t="shared" si="0"/>
        <v>0</v>
      </c>
      <c r="G8" s="37">
        <f>D8*1000000/C8</f>
        <v>0</v>
      </c>
      <c r="H8" s="49">
        <f>+SUM($D$6:D9)*1000000/SUM($C$6:C9)</f>
        <v>105.32968190436065</v>
      </c>
      <c r="I8" s="49">
        <f t="shared" si="1"/>
        <v>0.10532968190436065</v>
      </c>
      <c r="J8" s="46">
        <f>+AVERAGE($D$6:D9)</f>
        <v>0.25</v>
      </c>
      <c r="K8" s="43">
        <f t="shared" si="2"/>
        <v>120</v>
      </c>
    </row>
    <row r="9" spans="1:18">
      <c r="A9" s="4">
        <v>45383</v>
      </c>
      <c r="B9" s="5">
        <v>12</v>
      </c>
      <c r="C9" s="5">
        <f t="shared" si="3"/>
        <v>2112</v>
      </c>
      <c r="D9" s="5">
        <v>0</v>
      </c>
      <c r="E9" s="5">
        <v>0</v>
      </c>
      <c r="F9" s="5">
        <f t="shared" si="0"/>
        <v>0</v>
      </c>
      <c r="G9" s="37">
        <f>D9*1000000/C9</f>
        <v>0</v>
      </c>
      <c r="H9" s="49">
        <f>+SUM($D$6:D10)*1000000/SUM($C$6:C10)</f>
        <v>80.866893093967334</v>
      </c>
      <c r="I9" s="49">
        <f>+H9/1000</f>
        <v>8.0866893093967329E-2</v>
      </c>
      <c r="J9" s="46">
        <f>+AVERAGE($D$6:D10)</f>
        <v>0.2</v>
      </c>
      <c r="K9" s="43">
        <f>+IF(J9=0,"Sin eventos registrados",30/J9)</f>
        <v>150</v>
      </c>
    </row>
    <row r="10" spans="1:18">
      <c r="A10" s="4">
        <v>45413</v>
      </c>
      <c r="B10" s="5">
        <v>12</v>
      </c>
      <c r="C10" s="5">
        <v>2872</v>
      </c>
      <c r="D10" s="5">
        <v>0</v>
      </c>
      <c r="E10" s="5">
        <v>5</v>
      </c>
      <c r="F10" s="5">
        <f>D10*1000/B10</f>
        <v>0</v>
      </c>
      <c r="G10" s="37">
        <f t="shared" ref="G10:G17" si="4">D10*1000000/C10</f>
        <v>0</v>
      </c>
      <c r="H10" s="49">
        <f>+SUM($D$6:D11)*1000000/SUM($C$6:C11)</f>
        <v>65.763514402209651</v>
      </c>
      <c r="I10" s="49">
        <f t="shared" si="1"/>
        <v>6.576351440220965E-2</v>
      </c>
      <c r="J10" s="46">
        <f>+AVERAGE($D$6:D11)</f>
        <v>0.16666666666666666</v>
      </c>
      <c r="K10" s="43">
        <f>+IF(J10=0,"Sin eventos registrados",30/J10)</f>
        <v>180</v>
      </c>
    </row>
    <row r="11" spans="1:18">
      <c r="A11" s="4">
        <v>45444</v>
      </c>
      <c r="B11" s="5">
        <v>12</v>
      </c>
      <c r="C11" s="5">
        <v>2840</v>
      </c>
      <c r="D11" s="5">
        <v>0</v>
      </c>
      <c r="E11" s="5">
        <v>0</v>
      </c>
      <c r="F11" s="5">
        <f t="shared" si="0"/>
        <v>0</v>
      </c>
      <c r="G11" s="37">
        <f>D11*1000000/C11</f>
        <v>0</v>
      </c>
      <c r="H11" s="49">
        <f>+SUM($D$6:D12)*1000000/SUM($C$6:C12)</f>
        <v>55.809800200915284</v>
      </c>
      <c r="I11" s="49">
        <f t="shared" si="1"/>
        <v>5.5809800200915284E-2</v>
      </c>
      <c r="J11" s="46">
        <f>+AVERAGE($D$6:D12)</f>
        <v>0.14285714285714285</v>
      </c>
      <c r="K11" s="43">
        <f t="shared" si="2"/>
        <v>210</v>
      </c>
    </row>
    <row r="12" spans="1:18">
      <c r="A12" s="4">
        <v>45474</v>
      </c>
      <c r="B12" s="5">
        <v>12</v>
      </c>
      <c r="C12" s="5">
        <v>2712</v>
      </c>
      <c r="D12" s="5">
        <v>0</v>
      </c>
      <c r="E12" s="5">
        <v>0</v>
      </c>
      <c r="F12" s="5">
        <f t="shared" si="0"/>
        <v>0</v>
      </c>
      <c r="G12" s="37">
        <f t="shared" si="4"/>
        <v>0</v>
      </c>
      <c r="H12" s="49">
        <f>+SUM($D$6:D13)*1000000/SUM($C$6:C13)</f>
        <v>49.925112331502746</v>
      </c>
      <c r="I12" s="49">
        <f t="shared" si="1"/>
        <v>4.9925112331502743E-2</v>
      </c>
      <c r="J12" s="46">
        <f>+AVERAGE($D$6:D13)</f>
        <v>0.125</v>
      </c>
      <c r="K12" s="43">
        <f t="shared" si="2"/>
        <v>240</v>
      </c>
    </row>
    <row r="13" spans="1:18">
      <c r="A13" s="4">
        <v>45505</v>
      </c>
      <c r="B13" s="5">
        <v>12</v>
      </c>
      <c r="C13" s="5">
        <f t="shared" si="3"/>
        <v>2112</v>
      </c>
      <c r="D13" s="5">
        <v>0</v>
      </c>
      <c r="E13" s="5">
        <v>0</v>
      </c>
      <c r="F13" s="5">
        <f t="shared" si="0"/>
        <v>0</v>
      </c>
      <c r="G13" s="37">
        <f t="shared" si="4"/>
        <v>0</v>
      </c>
      <c r="H13" s="49">
        <f>+SUM($D$6:D14)*1000000/SUM($C$6:C14)</f>
        <v>45.163038569234935</v>
      </c>
      <c r="I13" s="49">
        <f>+H13/1000</f>
        <v>4.5163038569234933E-2</v>
      </c>
      <c r="J13" s="46">
        <f>+AVERAGE($D$6:D14)</f>
        <v>0.1111111111111111</v>
      </c>
      <c r="K13" s="43">
        <f t="shared" si="2"/>
        <v>270</v>
      </c>
    </row>
    <row r="14" spans="1:18">
      <c r="A14" s="4">
        <v>45536</v>
      </c>
      <c r="B14" s="5">
        <v>12</v>
      </c>
      <c r="C14" s="5">
        <f t="shared" si="3"/>
        <v>2112</v>
      </c>
      <c r="D14" s="5">
        <v>0</v>
      </c>
      <c r="E14" s="5">
        <v>0</v>
      </c>
      <c r="F14" s="5">
        <f t="shared" si="0"/>
        <v>0</v>
      </c>
      <c r="G14" s="37">
        <f t="shared" si="4"/>
        <v>0</v>
      </c>
      <c r="H14" s="49">
        <f>+SUM($D$6:D15)*1000000/SUM($C$6:C15)</f>
        <v>41.230312525768944</v>
      </c>
      <c r="I14" s="49">
        <f t="shared" si="1"/>
        <v>4.1230312525768947E-2</v>
      </c>
      <c r="J14" s="46">
        <f>+AVERAGE($D$6:D15)</f>
        <v>0.1</v>
      </c>
      <c r="K14" s="43">
        <f t="shared" si="2"/>
        <v>300</v>
      </c>
    </row>
    <row r="15" spans="1:18">
      <c r="A15" s="4">
        <v>45200</v>
      </c>
      <c r="B15" s="5">
        <v>12</v>
      </c>
      <c r="C15" s="5">
        <f t="shared" si="3"/>
        <v>2112</v>
      </c>
      <c r="D15" s="5">
        <v>0</v>
      </c>
      <c r="E15" s="5">
        <v>0</v>
      </c>
      <c r="F15" s="5">
        <f t="shared" si="0"/>
        <v>0</v>
      </c>
      <c r="G15" s="37">
        <f t="shared" si="4"/>
        <v>0</v>
      </c>
      <c r="H15" s="49">
        <f>+SUM($D$6:D16)*1000000/SUM($C$6:C16)</f>
        <v>37.92763407418645</v>
      </c>
      <c r="I15" s="49">
        <f t="shared" si="1"/>
        <v>3.792763407418645E-2</v>
      </c>
      <c r="J15" s="46">
        <f>+AVERAGE($D$6:D16)</f>
        <v>9.0909090909090912E-2</v>
      </c>
      <c r="K15" s="43">
        <f t="shared" si="2"/>
        <v>330</v>
      </c>
    </row>
    <row r="16" spans="1:18">
      <c r="A16" s="4">
        <v>45231</v>
      </c>
      <c r="B16" s="5">
        <v>12</v>
      </c>
      <c r="C16" s="5">
        <f t="shared" si="3"/>
        <v>2112</v>
      </c>
      <c r="D16" s="5">
        <v>0</v>
      </c>
      <c r="E16" s="5">
        <v>0</v>
      </c>
      <c r="F16" s="5">
        <f t="shared" si="0"/>
        <v>0</v>
      </c>
      <c r="G16" s="37">
        <f t="shared" si="4"/>
        <v>0</v>
      </c>
      <c r="H16" s="49">
        <f>+SUM($D$6:D17)*1000000/SUM($C$6:C17)</f>
        <v>35.114825479317368</v>
      </c>
      <c r="I16" s="49">
        <f t="shared" si="1"/>
        <v>3.5114825479317366E-2</v>
      </c>
      <c r="J16" s="46">
        <f>+AVERAGE($D$6:D17)</f>
        <v>8.3333333333333329E-2</v>
      </c>
      <c r="K16" s="43">
        <f t="shared" si="2"/>
        <v>360</v>
      </c>
    </row>
    <row r="17" spans="1:12">
      <c r="A17" s="4">
        <v>45261</v>
      </c>
      <c r="B17" s="5">
        <v>12</v>
      </c>
      <c r="C17" s="5">
        <f t="shared" si="3"/>
        <v>2112</v>
      </c>
      <c r="D17" s="5">
        <v>0</v>
      </c>
      <c r="E17" s="5">
        <v>0</v>
      </c>
      <c r="F17" s="5">
        <f t="shared" si="0"/>
        <v>0</v>
      </c>
      <c r="G17" s="37">
        <f t="shared" si="4"/>
        <v>0</v>
      </c>
      <c r="H17" s="49">
        <f>+SUM($D$6:D18)*1000000/SUM($C$6:C18)</f>
        <v>35.114825479317368</v>
      </c>
      <c r="I17" s="49">
        <f t="shared" si="1"/>
        <v>3.5114825479317366E-2</v>
      </c>
      <c r="J17" s="46">
        <f>+AVERAGE($D$6:D18)</f>
        <v>8.3333333333333329E-2</v>
      </c>
      <c r="K17" s="43">
        <f t="shared" si="2"/>
        <v>360</v>
      </c>
    </row>
    <row r="18" spans="1:12">
      <c r="A18" s="4"/>
      <c r="B18" s="5"/>
      <c r="C18" s="5"/>
      <c r="D18" s="5"/>
      <c r="E18" s="5"/>
      <c r="F18" s="5"/>
    </row>
    <row r="19" spans="1:12">
      <c r="A19" s="3" t="s">
        <v>326</v>
      </c>
      <c r="B19" s="5">
        <f>SUM(B6:B17)/12</f>
        <v>12.25</v>
      </c>
      <c r="C19" s="5">
        <f>SUM(C6:C17)</f>
        <v>28478</v>
      </c>
      <c r="D19" s="5">
        <f>SUM(D6:D17)</f>
        <v>1</v>
      </c>
      <c r="E19" s="10">
        <f>SUM(E6:E17)</f>
        <v>11</v>
      </c>
      <c r="F19" s="5">
        <f>D19*1000/B19</f>
        <v>81.632653061224488</v>
      </c>
    </row>
    <row r="20" spans="1:12">
      <c r="A20" s="2"/>
    </row>
    <row r="21" spans="1:12">
      <c r="A21" s="2"/>
    </row>
    <row r="22" spans="1:12" ht="18" customHeight="1">
      <c r="A22" s="16" t="s">
        <v>327</v>
      </c>
      <c r="B22" s="6"/>
      <c r="C22" s="7" t="s">
        <v>328</v>
      </c>
      <c r="D22" s="18" t="s">
        <v>329</v>
      </c>
      <c r="E22" s="20">
        <f>D19*1000/B19</f>
        <v>81.632653061224488</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35.114825479317368</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0.89795918367346939</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D3657-6BFE-4F10-859D-88B065B80547}">
  <sheetPr>
    <tabColor rgb="FFC00000"/>
    <pageSetUpPr fitToPage="1"/>
  </sheetPr>
  <dimension ref="A1:R59"/>
  <sheetViews>
    <sheetView workbookViewId="0">
      <selection activeCell="B17" sqref="B17"/>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9" max="9" width="9.140625"/>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2024</v>
      </c>
      <c r="P1" s="1"/>
      <c r="Q1" s="9"/>
      <c r="R1" s="12"/>
    </row>
    <row r="2" spans="1:18" ht="22.15">
      <c r="A2" s="14" t="s">
        <v>350</v>
      </c>
      <c r="C2" s="9"/>
      <c r="F2" s="11"/>
      <c r="P2" s="1"/>
      <c r="Q2" s="9"/>
      <c r="R2" s="12"/>
    </row>
    <row r="3" spans="1:18" ht="21" customHeight="1">
      <c r="C3" s="9" t="s">
        <v>314</v>
      </c>
      <c r="H3" s="47" t="s">
        <v>315</v>
      </c>
      <c r="I3" s="47"/>
      <c r="K3" s="47" t="s">
        <v>315</v>
      </c>
    </row>
    <row r="4" spans="1:18" ht="118.9">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0</v>
      </c>
      <c r="C6" s="41">
        <v>0</v>
      </c>
      <c r="D6" s="5">
        <v>0</v>
      </c>
      <c r="E6" s="5">
        <v>0</v>
      </c>
      <c r="F6" s="38" t="e">
        <f>D6*1000/B6*12</f>
        <v>#DIV/0!</v>
      </c>
      <c r="G6" s="37" t="e">
        <f>D6*1000000/C6</f>
        <v>#DIV/0!</v>
      </c>
      <c r="H6" s="49" t="e">
        <f>+D7*1000000/C7</f>
        <v>#DIV/0!</v>
      </c>
      <c r="I6" s="49" t="e">
        <f>+H6/1000</f>
        <v>#DIV/0!</v>
      </c>
      <c r="J6" s="46">
        <f>+AVERAGE($D$6:D7)</f>
        <v>0</v>
      </c>
      <c r="K6" s="43" t="str">
        <f>+IF(J6=0,"Sin eventos registrados",30/J6)</f>
        <v>Sin eventos registrados</v>
      </c>
    </row>
    <row r="7" spans="1:18">
      <c r="A7" s="4">
        <v>45323</v>
      </c>
      <c r="B7" s="5">
        <v>0</v>
      </c>
      <c r="C7" s="41">
        <v>0</v>
      </c>
      <c r="D7" s="5">
        <v>0</v>
      </c>
      <c r="E7" s="5">
        <v>0</v>
      </c>
      <c r="F7" s="38" t="e">
        <f t="shared" ref="F7:F17" si="0">D7*1000/B7*12</f>
        <v>#DIV/0!</v>
      </c>
      <c r="G7" s="37" t="e">
        <f>D7*1000000/C7</f>
        <v>#DIV/0!</v>
      </c>
      <c r="H7" s="49" t="e">
        <f>+SUM($D$6:D8)*1000000/SUM($C$6:C8)</f>
        <v>#DIV/0!</v>
      </c>
      <c r="I7" s="49" t="e">
        <f t="shared" ref="I7:I17" si="1">+H7/1000</f>
        <v>#DIV/0!</v>
      </c>
      <c r="J7" s="46">
        <f>+AVERAGE($D$6:D8)</f>
        <v>0</v>
      </c>
      <c r="K7" s="43" t="str">
        <f t="shared" ref="K7:K17" si="2">+IF(J7=0,"Sin eventos registrados",30/J7)</f>
        <v>Sin eventos registrados</v>
      </c>
    </row>
    <row r="8" spans="1:18">
      <c r="A8" s="4">
        <v>45352</v>
      </c>
      <c r="B8" s="5">
        <v>0</v>
      </c>
      <c r="C8" s="41">
        <v>0</v>
      </c>
      <c r="D8" s="28">
        <v>0</v>
      </c>
      <c r="E8" s="5">
        <v>0</v>
      </c>
      <c r="F8" s="38" t="e">
        <f t="shared" si="0"/>
        <v>#DIV/0!</v>
      </c>
      <c r="G8" s="37" t="e">
        <f>D8*1000000/C8</f>
        <v>#DIV/0!</v>
      </c>
      <c r="H8" s="49" t="e">
        <f>+SUM($D$6:D9)*1000000/SUM($C$6:C9)</f>
        <v>#DIV/0!</v>
      </c>
      <c r="I8" s="49" t="e">
        <f t="shared" si="1"/>
        <v>#DIV/0!</v>
      </c>
      <c r="J8" s="46">
        <f>+AVERAGE($D$6:D9)</f>
        <v>0</v>
      </c>
      <c r="K8" s="43" t="str">
        <f t="shared" si="2"/>
        <v>Sin eventos registrados</v>
      </c>
    </row>
    <row r="9" spans="1:18">
      <c r="A9" s="4">
        <v>45383</v>
      </c>
      <c r="B9" s="5">
        <v>0</v>
      </c>
      <c r="C9" s="41">
        <f>B9*200</f>
        <v>0</v>
      </c>
      <c r="D9" s="5">
        <v>0</v>
      </c>
      <c r="E9" s="5">
        <v>0</v>
      </c>
      <c r="F9" s="38" t="e">
        <f t="shared" si="0"/>
        <v>#DIV/0!</v>
      </c>
      <c r="G9" s="37" t="e">
        <f>D9*1000000/C9</f>
        <v>#DIV/0!</v>
      </c>
      <c r="H9" s="49">
        <f>+SUM($D$6:D10)*1000000/SUM($C$6:C10)</f>
        <v>0</v>
      </c>
      <c r="I9" s="49">
        <f>+H9/1000</f>
        <v>0</v>
      </c>
      <c r="J9" s="46">
        <f>+AVERAGE($D$6:D10)</f>
        <v>0</v>
      </c>
      <c r="K9" s="43" t="str">
        <f>+IF(J9=0,"Sin eventos registrados",30/J9)</f>
        <v>Sin eventos registrados</v>
      </c>
    </row>
    <row r="10" spans="1:18">
      <c r="A10" s="4">
        <v>45413</v>
      </c>
      <c r="B10" s="5">
        <v>2</v>
      </c>
      <c r="C10" s="41">
        <f>B10*200</f>
        <v>400</v>
      </c>
      <c r="D10" s="5">
        <v>0</v>
      </c>
      <c r="E10" s="5">
        <v>0</v>
      </c>
      <c r="F10" s="38">
        <f t="shared" si="0"/>
        <v>0</v>
      </c>
      <c r="G10" s="37">
        <f t="shared" ref="G10:G17" si="3">D10*1000000/C10</f>
        <v>0</v>
      </c>
      <c r="H10" s="49">
        <f>+SUM($D$6:D11)*1000000/SUM($C$6:C11)</f>
        <v>0</v>
      </c>
      <c r="I10" s="49">
        <f t="shared" si="1"/>
        <v>0</v>
      </c>
      <c r="J10" s="46">
        <f>+AVERAGE($D$6:D11)</f>
        <v>0</v>
      </c>
      <c r="K10" s="43" t="str">
        <f>+IF(J10=0,"Sin eventos registrados",30/J10)</f>
        <v>Sin eventos registrados</v>
      </c>
    </row>
    <row r="11" spans="1:18">
      <c r="A11" s="4">
        <v>45444</v>
      </c>
      <c r="B11" s="5">
        <v>5</v>
      </c>
      <c r="C11" s="41">
        <f>B11*200</f>
        <v>1000</v>
      </c>
      <c r="D11" s="5">
        <v>0</v>
      </c>
      <c r="E11" s="5">
        <v>0</v>
      </c>
      <c r="F11" s="38">
        <f>D11*1000/B11</f>
        <v>0</v>
      </c>
      <c r="G11" s="37">
        <f>D11*1000000/C11</f>
        <v>0</v>
      </c>
      <c r="H11" s="49">
        <f>+SUM($D$6:D12)*1000000/SUM($C$6:C12)</f>
        <v>0</v>
      </c>
      <c r="I11" s="49">
        <f t="shared" si="1"/>
        <v>0</v>
      </c>
      <c r="J11" s="46">
        <f>+AVERAGE($D$6:D12)</f>
        <v>0</v>
      </c>
      <c r="K11" s="43" t="str">
        <f t="shared" si="2"/>
        <v>Sin eventos registrados</v>
      </c>
    </row>
    <row r="12" spans="1:18">
      <c r="A12" s="4">
        <v>45474</v>
      </c>
      <c r="B12" s="5">
        <v>14</v>
      </c>
      <c r="C12" s="41">
        <f>B12*200</f>
        <v>2800</v>
      </c>
      <c r="D12" s="28">
        <v>0</v>
      </c>
      <c r="E12" s="5">
        <v>0</v>
      </c>
      <c r="F12" s="38">
        <f>D12*1000/B12*12</f>
        <v>0</v>
      </c>
      <c r="G12" s="37">
        <f t="shared" si="3"/>
        <v>0</v>
      </c>
      <c r="H12" s="49">
        <f>+SUM($D$6:D13)*1000000/SUM($C$6:C13)</f>
        <v>0</v>
      </c>
      <c r="I12" s="49">
        <f t="shared" si="1"/>
        <v>0</v>
      </c>
      <c r="J12" s="46">
        <f>+AVERAGE($D$6:D13)</f>
        <v>0</v>
      </c>
      <c r="K12" s="43" t="str">
        <f t="shared" si="2"/>
        <v>Sin eventos registrados</v>
      </c>
    </row>
    <row r="13" spans="1:18">
      <c r="A13" s="4">
        <v>45505</v>
      </c>
      <c r="B13" s="5">
        <v>16</v>
      </c>
      <c r="C13" s="41">
        <f>B13*200</f>
        <v>3200</v>
      </c>
      <c r="D13" s="28">
        <v>0</v>
      </c>
      <c r="E13" s="5">
        <v>0</v>
      </c>
      <c r="F13" s="38">
        <f t="shared" si="0"/>
        <v>0</v>
      </c>
      <c r="G13" s="37">
        <f t="shared" si="3"/>
        <v>0</v>
      </c>
      <c r="H13" s="49">
        <f>+SUM($D$6:D14)*1000000/SUM($C$6:C14)</f>
        <v>0</v>
      </c>
      <c r="I13" s="49">
        <f>+H13/1000</f>
        <v>0</v>
      </c>
      <c r="J13" s="46">
        <f>+AVERAGE($D$6:D14)</f>
        <v>0</v>
      </c>
      <c r="K13" s="43" t="str">
        <f t="shared" si="2"/>
        <v>Sin eventos registrados</v>
      </c>
    </row>
    <row r="14" spans="1:18">
      <c r="A14" s="4">
        <v>45536</v>
      </c>
      <c r="B14" s="5">
        <v>16</v>
      </c>
      <c r="C14" s="41">
        <f t="shared" ref="C14:C17" si="4">B14*200</f>
        <v>3200</v>
      </c>
      <c r="D14" s="5">
        <v>0</v>
      </c>
      <c r="E14" s="5">
        <v>0</v>
      </c>
      <c r="F14" s="38">
        <f t="shared" si="0"/>
        <v>0</v>
      </c>
      <c r="G14" s="37">
        <f t="shared" si="3"/>
        <v>0</v>
      </c>
      <c r="H14" s="49">
        <f>+SUM($D$6:D15)*1000000/SUM($C$6:C15)</f>
        <v>0</v>
      </c>
      <c r="I14" s="49">
        <f t="shared" si="1"/>
        <v>0</v>
      </c>
      <c r="J14" s="46">
        <f>+AVERAGE($D$6:D15)</f>
        <v>0</v>
      </c>
      <c r="K14" s="43" t="str">
        <f t="shared" si="2"/>
        <v>Sin eventos registrados</v>
      </c>
    </row>
    <row r="15" spans="1:18">
      <c r="A15" s="4">
        <v>45566</v>
      </c>
      <c r="B15" s="5">
        <v>5</v>
      </c>
      <c r="C15" s="41">
        <f t="shared" si="4"/>
        <v>1000</v>
      </c>
      <c r="D15" s="5">
        <v>0</v>
      </c>
      <c r="E15" s="5">
        <v>0</v>
      </c>
      <c r="F15" s="38">
        <f t="shared" si="0"/>
        <v>0</v>
      </c>
      <c r="G15" s="37">
        <f t="shared" si="3"/>
        <v>0</v>
      </c>
      <c r="H15" s="49">
        <f>+SUM($D$6:D16)*1000000/SUM($C$6:C16)</f>
        <v>0</v>
      </c>
      <c r="I15" s="49">
        <f t="shared" si="1"/>
        <v>0</v>
      </c>
      <c r="J15" s="46">
        <f>+AVERAGE($D$6:D16)</f>
        <v>0</v>
      </c>
      <c r="K15" s="43" t="str">
        <f t="shared" si="2"/>
        <v>Sin eventos registrados</v>
      </c>
    </row>
    <row r="16" spans="1:18">
      <c r="A16" s="4">
        <v>45597</v>
      </c>
      <c r="B16" s="5">
        <v>5</v>
      </c>
      <c r="C16" s="41">
        <f t="shared" si="4"/>
        <v>1000</v>
      </c>
      <c r="D16" s="5">
        <v>0</v>
      </c>
      <c r="E16" s="5">
        <v>0</v>
      </c>
      <c r="F16" s="38">
        <f t="shared" si="0"/>
        <v>0</v>
      </c>
      <c r="G16" s="37">
        <f t="shared" si="3"/>
        <v>0</v>
      </c>
      <c r="H16" s="49">
        <f>+SUM($D$6:D17)*1000000/SUM($C$6:C17)</f>
        <v>0</v>
      </c>
      <c r="I16" s="49">
        <f t="shared" si="1"/>
        <v>0</v>
      </c>
      <c r="J16" s="46">
        <f>+AVERAGE($D$6:D17)</f>
        <v>0</v>
      </c>
      <c r="K16" s="43" t="str">
        <f t="shared" si="2"/>
        <v>Sin eventos registrados</v>
      </c>
    </row>
    <row r="17" spans="1:12">
      <c r="A17" s="4">
        <v>45627</v>
      </c>
      <c r="B17" s="5">
        <v>0</v>
      </c>
      <c r="C17" s="41">
        <f t="shared" si="4"/>
        <v>0</v>
      </c>
      <c r="D17" s="5">
        <v>0</v>
      </c>
      <c r="E17" s="5">
        <v>0</v>
      </c>
      <c r="F17" s="38" t="e">
        <f t="shared" si="0"/>
        <v>#DIV/0!</v>
      </c>
      <c r="G17" s="37" t="e">
        <f t="shared" si="3"/>
        <v>#DIV/0!</v>
      </c>
      <c r="H17" s="49">
        <f>+SUM($D$6:D18)*1000000/SUM($C$6:C18)</f>
        <v>0</v>
      </c>
      <c r="I17" s="49">
        <f t="shared" si="1"/>
        <v>0</v>
      </c>
      <c r="J17" s="46">
        <f>+AVERAGE($D$6:D18)</f>
        <v>0</v>
      </c>
      <c r="K17" s="43" t="str">
        <f t="shared" si="2"/>
        <v>Sin eventos registrados</v>
      </c>
    </row>
    <row r="18" spans="1:12">
      <c r="A18" s="4"/>
      <c r="B18" s="5">
        <v>0</v>
      </c>
      <c r="C18" s="5"/>
      <c r="D18" s="5"/>
      <c r="E18" s="5"/>
      <c r="F18" s="38"/>
      <c r="G18" s="37"/>
    </row>
    <row r="19" spans="1:12">
      <c r="A19" s="3" t="s">
        <v>326</v>
      </c>
      <c r="B19" s="5">
        <f>SUM(B6:B17)/12</f>
        <v>5.25</v>
      </c>
      <c r="C19" s="5">
        <f>SUM(C6:C17)</f>
        <v>12600</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R59"/>
  <sheetViews>
    <sheetView topLeftCell="C1" workbookViewId="0">
      <selection activeCell="G22" sqref="G22"/>
    </sheetView>
  </sheetViews>
  <sheetFormatPr defaultColWidth="11.42578125" defaultRowHeight="13.15"/>
  <cols>
    <col min="1" max="2" width="14.28515625" customWidth="1"/>
    <col min="3" max="3" width="21.42578125" customWidth="1"/>
    <col min="4" max="5" width="14.28515625" customWidth="1"/>
    <col min="6" max="6" width="14.28515625" style="2" customWidth="1"/>
    <col min="8" max="8" width="30.7109375" bestFit="1" customWidth="1"/>
    <col min="9" max="9" width="23.28515625" customWidth="1"/>
    <col min="10" max="10" width="26.85546875" bestFit="1" customWidth="1"/>
    <col min="11" max="11" width="34.7109375" bestFit="1" customWidth="1"/>
    <col min="16" max="16" width="21.7109375" customWidth="1"/>
    <col min="17" max="17" width="24.7109375" customWidth="1"/>
  </cols>
  <sheetData>
    <row r="1" spans="1:18" ht="41.25" customHeight="1">
      <c r="A1" s="13"/>
      <c r="C1" s="25" t="s">
        <v>312</v>
      </c>
      <c r="F1" s="15">
        <v>2024</v>
      </c>
      <c r="P1" s="1"/>
      <c r="Q1" s="9"/>
      <c r="R1" s="12"/>
    </row>
    <row r="2" spans="1:18" ht="22.15">
      <c r="A2" s="14" t="s">
        <v>15</v>
      </c>
      <c r="C2" s="9"/>
      <c r="F2" s="11"/>
      <c r="P2" s="1"/>
      <c r="Q2" s="9"/>
      <c r="R2" s="12"/>
    </row>
    <row r="3" spans="1:18" ht="21" customHeight="1">
      <c r="C3" s="9" t="s">
        <v>314</v>
      </c>
      <c r="H3" s="47" t="s">
        <v>315</v>
      </c>
      <c r="I3" s="47"/>
      <c r="K3" s="47" t="s">
        <v>315</v>
      </c>
    </row>
    <row r="4" spans="1:18" ht="39.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47</v>
      </c>
      <c r="C6" s="5">
        <v>9192</v>
      </c>
      <c r="D6" s="5">
        <v>1</v>
      </c>
      <c r="E6" s="5">
        <v>2</v>
      </c>
      <c r="F6" s="5">
        <f>D6*1000/B6*12</f>
        <v>255.31914893617022</v>
      </c>
      <c r="G6" s="37">
        <f>D6*1000000/C6</f>
        <v>108.79025239338556</v>
      </c>
      <c r="H6" s="49">
        <f>+D7*1000000/C7</f>
        <v>113.97310234784591</v>
      </c>
      <c r="I6" s="49">
        <f>+H6/1000</f>
        <v>0.11397310234784591</v>
      </c>
      <c r="J6" s="46">
        <f>+AVERAGE($D$6:D7)</f>
        <v>1</v>
      </c>
      <c r="K6" s="43">
        <f>+IF(J6=0,"Sin eventos registrados",30/J6)</f>
        <v>30</v>
      </c>
    </row>
    <row r="7" spans="1:18">
      <c r="A7" s="4">
        <v>45323</v>
      </c>
      <c r="B7" s="5">
        <v>41</v>
      </c>
      <c r="C7" s="5">
        <v>8774</v>
      </c>
      <c r="D7" s="5">
        <v>1</v>
      </c>
      <c r="E7" s="5">
        <v>0</v>
      </c>
      <c r="F7" s="5">
        <f t="shared" ref="F7:F17" si="0">D7*1000/B7*12</f>
        <v>292.6829268292683</v>
      </c>
      <c r="G7" s="37">
        <f>D7*1000000/C7</f>
        <v>113.97310234784591</v>
      </c>
      <c r="H7" s="49">
        <f>+SUM($D$6:D8)*1000000/SUM($C$6:C8)</f>
        <v>86.333419666753002</v>
      </c>
      <c r="I7" s="49">
        <f t="shared" ref="I7:I17" si="1">+H7/1000</f>
        <v>8.6333419666753008E-2</v>
      </c>
      <c r="J7" s="46">
        <f>+AVERAGE($D$6:D8)</f>
        <v>0.66666666666666663</v>
      </c>
      <c r="K7" s="43">
        <f t="shared" ref="K7:K17" si="2">+IF(J7=0,"Sin eventos registrados",30/J7)</f>
        <v>45</v>
      </c>
    </row>
    <row r="8" spans="1:18">
      <c r="A8" s="4">
        <v>45352</v>
      </c>
      <c r="B8" s="5">
        <v>28</v>
      </c>
      <c r="C8" s="5">
        <v>5200</v>
      </c>
      <c r="D8" s="5">
        <v>0</v>
      </c>
      <c r="E8" s="5">
        <v>0</v>
      </c>
      <c r="F8" s="5">
        <f t="shared" si="0"/>
        <v>0</v>
      </c>
      <c r="G8" s="37">
        <f>D8*1000000/C8</f>
        <v>0</v>
      </c>
      <c r="H8" s="49">
        <f>+SUM($D$6:D9)*1000000/SUM($C$6:C9)</f>
        <v>86.333419666753002</v>
      </c>
      <c r="I8" s="49">
        <f t="shared" si="1"/>
        <v>8.6333419666753008E-2</v>
      </c>
      <c r="J8" s="46">
        <f>+AVERAGE($D$6:D9)</f>
        <v>0.5</v>
      </c>
      <c r="K8" s="43">
        <f t="shared" si="2"/>
        <v>60</v>
      </c>
    </row>
    <row r="9" spans="1:18">
      <c r="A9" s="4">
        <v>45383</v>
      </c>
      <c r="B9" s="5">
        <v>0</v>
      </c>
      <c r="C9" s="5">
        <f t="shared" ref="C9:C17" si="3">B9*22*8</f>
        <v>0</v>
      </c>
      <c r="D9" s="5">
        <v>0</v>
      </c>
      <c r="E9" s="5">
        <v>0</v>
      </c>
      <c r="F9" s="5" t="e">
        <f t="shared" si="0"/>
        <v>#DIV/0!</v>
      </c>
      <c r="G9" s="37" t="e">
        <f>D9*1000000/C9</f>
        <v>#DIV/0!</v>
      </c>
      <c r="H9" s="49">
        <f>+SUM($D$6:D10)*1000000/SUM($C$6:C10)</f>
        <v>86.333419666753002</v>
      </c>
      <c r="I9" s="49">
        <f>+H9/1000</f>
        <v>8.6333419666753008E-2</v>
      </c>
      <c r="J9" s="46">
        <f>+AVERAGE($D$6:D10)</f>
        <v>0.4</v>
      </c>
      <c r="K9" s="43">
        <f>+IF(J9=0,"Sin eventos registrados",30/J9)</f>
        <v>75</v>
      </c>
    </row>
    <row r="10" spans="1:18">
      <c r="A10" s="4">
        <v>45413</v>
      </c>
      <c r="B10" s="5">
        <v>0</v>
      </c>
      <c r="C10" s="5">
        <f t="shared" si="3"/>
        <v>0</v>
      </c>
      <c r="D10" s="5">
        <v>0</v>
      </c>
      <c r="E10" s="5">
        <v>0</v>
      </c>
      <c r="F10" s="5" t="e">
        <f>D10*1000/B10*12</f>
        <v>#DIV/0!</v>
      </c>
      <c r="G10" s="37" t="e">
        <f t="shared" ref="G10:G17" si="4">D10*1000000/C10</f>
        <v>#DIV/0!</v>
      </c>
      <c r="H10" s="49">
        <f>+SUM($D$6:D11)*1000000/SUM($C$6:C11)</f>
        <v>86.333419666753002</v>
      </c>
      <c r="I10" s="49">
        <f t="shared" si="1"/>
        <v>8.6333419666753008E-2</v>
      </c>
      <c r="J10" s="46">
        <f>+AVERAGE($D$6:D11)</f>
        <v>0.33333333333333331</v>
      </c>
      <c r="K10" s="43">
        <f>+IF(J10=0,"Sin eventos registrados",30/J10)</f>
        <v>90</v>
      </c>
    </row>
    <row r="11" spans="1:18">
      <c r="A11" s="4">
        <v>45444</v>
      </c>
      <c r="B11" s="5">
        <v>0</v>
      </c>
      <c r="C11" s="5">
        <f t="shared" si="3"/>
        <v>0</v>
      </c>
      <c r="D11" s="5">
        <v>0</v>
      </c>
      <c r="E11" s="5">
        <v>0</v>
      </c>
      <c r="F11" s="5" t="e">
        <f t="shared" si="0"/>
        <v>#DIV/0!</v>
      </c>
      <c r="G11" s="37" t="e">
        <f>D11*1000000/C11</f>
        <v>#DIV/0!</v>
      </c>
      <c r="H11" s="49">
        <f>+SUM($D$6:D12)*1000000/SUM($C$6:C12)</f>
        <v>86.333419666753002</v>
      </c>
      <c r="I11" s="49">
        <f t="shared" si="1"/>
        <v>8.6333419666753008E-2</v>
      </c>
      <c r="J11" s="46">
        <f>+AVERAGE($D$6:D12)</f>
        <v>0.2857142857142857</v>
      </c>
      <c r="K11" s="43">
        <f t="shared" si="2"/>
        <v>105</v>
      </c>
    </row>
    <row r="12" spans="1:18">
      <c r="A12" s="4">
        <v>45474</v>
      </c>
      <c r="B12" s="5">
        <v>0</v>
      </c>
      <c r="C12" s="5">
        <f t="shared" si="3"/>
        <v>0</v>
      </c>
      <c r="D12" s="5">
        <v>0</v>
      </c>
      <c r="E12" s="5">
        <v>0</v>
      </c>
      <c r="F12" s="5" t="e">
        <f>D12*1000/B12</f>
        <v>#DIV/0!</v>
      </c>
      <c r="G12" s="37" t="e">
        <f t="shared" si="4"/>
        <v>#DIV/0!</v>
      </c>
      <c r="H12" s="49">
        <f>+SUM($D$6:D13)*1000000/SUM($C$6:C13)</f>
        <v>86.333419666753002</v>
      </c>
      <c r="I12" s="49">
        <f t="shared" si="1"/>
        <v>8.6333419666753008E-2</v>
      </c>
      <c r="J12" s="46">
        <f>+AVERAGE($D$6:D13)</f>
        <v>0.25</v>
      </c>
      <c r="K12" s="43">
        <f t="shared" si="2"/>
        <v>120</v>
      </c>
    </row>
    <row r="13" spans="1:18">
      <c r="A13" s="4">
        <v>45505</v>
      </c>
      <c r="B13" s="5">
        <v>0</v>
      </c>
      <c r="C13" s="5">
        <f t="shared" si="3"/>
        <v>0</v>
      </c>
      <c r="D13" s="5">
        <v>0</v>
      </c>
      <c r="E13" s="5">
        <v>0</v>
      </c>
      <c r="F13" s="5" t="e">
        <f t="shared" si="0"/>
        <v>#DIV/0!</v>
      </c>
      <c r="G13" s="37" t="e">
        <f t="shared" si="4"/>
        <v>#DIV/0!</v>
      </c>
      <c r="H13" s="49">
        <f>+SUM($D$6:D14)*1000000/SUM($C$6:C14)</f>
        <v>86.333419666753002</v>
      </c>
      <c r="I13" s="49">
        <f>+H13/1000</f>
        <v>8.6333419666753008E-2</v>
      </c>
      <c r="J13" s="46">
        <f>+AVERAGE($D$6:D14)</f>
        <v>0.22222222222222221</v>
      </c>
      <c r="K13" s="43">
        <f t="shared" si="2"/>
        <v>135</v>
      </c>
    </row>
    <row r="14" spans="1:18">
      <c r="A14" s="4">
        <v>45536</v>
      </c>
      <c r="B14" s="5">
        <v>0</v>
      </c>
      <c r="C14" s="5">
        <f t="shared" si="3"/>
        <v>0</v>
      </c>
      <c r="D14" s="5">
        <v>0</v>
      </c>
      <c r="E14" s="5">
        <v>0</v>
      </c>
      <c r="F14" s="5" t="e">
        <f t="shared" si="0"/>
        <v>#DIV/0!</v>
      </c>
      <c r="G14" s="37" t="e">
        <f t="shared" si="4"/>
        <v>#DIV/0!</v>
      </c>
      <c r="H14" s="49">
        <f>+SUM($D$6:D15)*1000000/SUM($C$6:C15)</f>
        <v>86.333419666753002</v>
      </c>
      <c r="I14" s="49">
        <f t="shared" si="1"/>
        <v>8.6333419666753008E-2</v>
      </c>
      <c r="J14" s="46">
        <f>+AVERAGE($D$6:D15)</f>
        <v>0.2</v>
      </c>
      <c r="K14" s="43">
        <f t="shared" si="2"/>
        <v>150</v>
      </c>
    </row>
    <row r="15" spans="1:18">
      <c r="A15" s="4">
        <v>45566</v>
      </c>
      <c r="B15" s="5">
        <v>0</v>
      </c>
      <c r="C15" s="5">
        <f t="shared" si="3"/>
        <v>0</v>
      </c>
      <c r="D15" s="5">
        <v>0</v>
      </c>
      <c r="E15" s="5">
        <v>0</v>
      </c>
      <c r="F15" s="5" t="e">
        <f t="shared" si="0"/>
        <v>#DIV/0!</v>
      </c>
      <c r="G15" s="37" t="e">
        <f t="shared" si="4"/>
        <v>#DIV/0!</v>
      </c>
      <c r="H15" s="49">
        <f>+SUM($D$6:D16)*1000000/SUM($C$6:C16)</f>
        <v>86.333419666753002</v>
      </c>
      <c r="I15" s="49">
        <f t="shared" si="1"/>
        <v>8.6333419666753008E-2</v>
      </c>
      <c r="J15" s="46">
        <f>+AVERAGE($D$6:D16)</f>
        <v>0.18181818181818182</v>
      </c>
      <c r="K15" s="43">
        <f t="shared" si="2"/>
        <v>165</v>
      </c>
    </row>
    <row r="16" spans="1:18">
      <c r="A16" s="4">
        <v>45597</v>
      </c>
      <c r="B16" s="5">
        <v>0</v>
      </c>
      <c r="C16" s="5">
        <f t="shared" si="3"/>
        <v>0</v>
      </c>
      <c r="D16" s="5">
        <v>0</v>
      </c>
      <c r="E16" s="5">
        <v>0</v>
      </c>
      <c r="F16" s="5" t="e">
        <f t="shared" si="0"/>
        <v>#DIV/0!</v>
      </c>
      <c r="G16" s="37" t="e">
        <f t="shared" si="4"/>
        <v>#DIV/0!</v>
      </c>
      <c r="H16" s="49">
        <f>+SUM($D$6:D17)*1000000/SUM($C$6:C17)</f>
        <v>86.333419666753002</v>
      </c>
      <c r="I16" s="49">
        <f t="shared" si="1"/>
        <v>8.6333419666753008E-2</v>
      </c>
      <c r="J16" s="46">
        <f>+AVERAGE($D$6:D17)</f>
        <v>0.16666666666666666</v>
      </c>
      <c r="K16" s="43">
        <f t="shared" si="2"/>
        <v>180</v>
      </c>
    </row>
    <row r="17" spans="1:12">
      <c r="A17" s="4">
        <v>45627</v>
      </c>
      <c r="B17" s="5">
        <v>0</v>
      </c>
      <c r="C17" s="5">
        <f t="shared" si="3"/>
        <v>0</v>
      </c>
      <c r="D17" s="5">
        <v>0</v>
      </c>
      <c r="E17" s="5">
        <v>0</v>
      </c>
      <c r="F17" s="5" t="e">
        <f t="shared" si="0"/>
        <v>#DIV/0!</v>
      </c>
      <c r="G17" s="37" t="e">
        <f t="shared" si="4"/>
        <v>#DIV/0!</v>
      </c>
      <c r="H17" s="49">
        <f>+SUM($D$6:D18)*1000000/SUM($C$6:C18)</f>
        <v>86.333419666753002</v>
      </c>
      <c r="I17" s="49">
        <f t="shared" si="1"/>
        <v>8.6333419666753008E-2</v>
      </c>
      <c r="J17" s="46">
        <f>+AVERAGE($D$6:D18)</f>
        <v>0.16666666666666666</v>
      </c>
      <c r="K17" s="43">
        <f t="shared" si="2"/>
        <v>180</v>
      </c>
    </row>
    <row r="18" spans="1:12">
      <c r="A18" s="4"/>
      <c r="B18" s="5"/>
      <c r="C18" s="5"/>
      <c r="D18" s="5"/>
      <c r="E18" s="5"/>
      <c r="F18" s="5"/>
    </row>
    <row r="19" spans="1:12">
      <c r="A19" s="3" t="s">
        <v>326</v>
      </c>
      <c r="B19" s="5">
        <f>SUM(B6:B17)/12</f>
        <v>9.6666666666666661</v>
      </c>
      <c r="C19" s="5">
        <f>SUM(C6:C17)</f>
        <v>23166</v>
      </c>
      <c r="D19" s="5">
        <f>SUM(D6:D17)</f>
        <v>2</v>
      </c>
      <c r="E19" s="10">
        <f>SUM(E6:E17)</f>
        <v>2</v>
      </c>
      <c r="F19" s="5">
        <f>D19*1000/B19</f>
        <v>206.89655172413794</v>
      </c>
    </row>
    <row r="20" spans="1:12">
      <c r="A20" s="2"/>
    </row>
    <row r="21" spans="1:12">
      <c r="A21" s="2"/>
    </row>
    <row r="22" spans="1:12" ht="18" customHeight="1">
      <c r="A22" s="16" t="s">
        <v>327</v>
      </c>
      <c r="B22" s="6"/>
      <c r="C22" s="7" t="s">
        <v>328</v>
      </c>
      <c r="D22" s="18" t="s">
        <v>329</v>
      </c>
      <c r="E22" s="20">
        <f>D19*1000/B19</f>
        <v>206.89655172413794</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86.333419666753002</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0.20689655172413796</v>
      </c>
      <c r="F28" s="215" t="s">
        <v>337</v>
      </c>
      <c r="H28" s="74"/>
      <c r="I28" s="74"/>
      <c r="J28" s="75"/>
      <c r="K28" s="75"/>
      <c r="L28" s="75"/>
    </row>
    <row r="29" spans="1:12" ht="20.45">
      <c r="A29" s="16" t="s">
        <v>338</v>
      </c>
      <c r="B29" s="6"/>
      <c r="C29" s="8" t="s">
        <v>331</v>
      </c>
      <c r="D29" s="18"/>
      <c r="E29" s="21"/>
      <c r="F29" s="215"/>
      <c r="H29" s="75"/>
      <c r="I29" s="75"/>
      <c r="J29" s="75"/>
      <c r="K29" s="75"/>
      <c r="L29" s="75"/>
    </row>
    <row r="30" spans="1:12">
      <c r="I30" s="75"/>
      <c r="J30" s="75"/>
      <c r="K30"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351</v>
      </c>
      <c r="F58" s="27"/>
    </row>
    <row r="59" spans="5:6">
      <c r="F59" s="27"/>
    </row>
  </sheetData>
  <mergeCells count="5">
    <mergeCell ref="F22:F23"/>
    <mergeCell ref="F25:F26"/>
    <mergeCell ref="F28:F29"/>
    <mergeCell ref="A31:F31"/>
    <mergeCell ref="A32:F32"/>
  </mergeCells>
  <phoneticPr fontId="14" type="noConversion"/>
  <printOptions horizontalCentered="1"/>
  <pageMargins left="0.94488188976377963" right="0.55118110236220474" top="0.59055118110236227" bottom="0.59055118110236227" header="0" footer="0"/>
  <pageSetup paperSize="9" scale="85" orientation="portrait" verticalDpi="0" r:id="rId1"/>
  <headerFooter alignWithMargins="0"/>
  <drawing r:id="rId2"/>
  <legacy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R59"/>
  <sheetViews>
    <sheetView workbookViewId="0">
      <selection activeCell="G35" sqref="G35"/>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12.140625" customWidth="1"/>
    <col min="8" max="8" width="30.7109375" bestFit="1" customWidth="1"/>
    <col min="10" max="10" width="26.85546875" bestFit="1" customWidth="1"/>
    <col min="11" max="11" width="34.7109375" bestFit="1" customWidth="1"/>
    <col min="16" max="16" width="21.7109375" customWidth="1"/>
    <col min="17" max="17" width="24.7109375" customWidth="1"/>
  </cols>
  <sheetData>
    <row r="1" spans="1:18" ht="41.25" customHeight="1">
      <c r="A1" s="13"/>
      <c r="C1" s="25" t="s">
        <v>312</v>
      </c>
      <c r="F1" s="15">
        <v>2024</v>
      </c>
      <c r="P1" s="1"/>
      <c r="Q1" s="9"/>
      <c r="R1" s="12"/>
    </row>
    <row r="2" spans="1:18" ht="22.15">
      <c r="A2" s="14" t="s">
        <v>14</v>
      </c>
      <c r="C2" s="9"/>
      <c r="F2" s="11"/>
      <c r="P2" s="1"/>
      <c r="Q2" s="9"/>
      <c r="R2" s="12"/>
    </row>
    <row r="3" spans="1:18" ht="21" customHeight="1">
      <c r="C3" s="9" t="s">
        <v>314</v>
      </c>
      <c r="H3" s="47" t="s">
        <v>315</v>
      </c>
      <c r="I3" s="47"/>
      <c r="K3" s="47" t="s">
        <v>315</v>
      </c>
    </row>
    <row r="4" spans="1:18" ht="79.150000000000006">
      <c r="A4" s="3" t="s">
        <v>316</v>
      </c>
      <c r="B4" s="3" t="s">
        <v>317</v>
      </c>
      <c r="C4" s="3" t="s">
        <v>318</v>
      </c>
      <c r="D4" s="3" t="s">
        <v>41</v>
      </c>
      <c r="E4" s="3" t="s">
        <v>319</v>
      </c>
      <c r="F4" s="39"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18</v>
      </c>
      <c r="C6" s="41">
        <v>4230</v>
      </c>
      <c r="D6" s="5">
        <v>0</v>
      </c>
      <c r="E6" s="5">
        <v>0</v>
      </c>
      <c r="F6" s="38">
        <f>D6*1000/B6*12</f>
        <v>0</v>
      </c>
      <c r="G6" s="37">
        <f>D6*1000000/C6</f>
        <v>0</v>
      </c>
      <c r="H6" s="49" t="e">
        <f>+D7*1000000/C7</f>
        <v>#DIV/0!</v>
      </c>
      <c r="I6" s="49" t="e">
        <f>+H6/1000</f>
        <v>#DIV/0!</v>
      </c>
      <c r="J6" s="46">
        <f>+AVERAGE($D$6:D7)</f>
        <v>0</v>
      </c>
      <c r="K6" s="43" t="str">
        <f>+IF(J6=0,"Sin eventos registrados",30/J6)</f>
        <v>Sin eventos registrados</v>
      </c>
    </row>
    <row r="7" spans="1:18">
      <c r="A7" s="4">
        <v>45323</v>
      </c>
      <c r="B7" s="5">
        <v>0</v>
      </c>
      <c r="C7" s="41">
        <v>0</v>
      </c>
      <c r="D7" s="5">
        <v>0</v>
      </c>
      <c r="E7" s="5">
        <v>0</v>
      </c>
      <c r="F7" s="38" t="e">
        <f t="shared" ref="F7:F17" si="0">D7*1000/B7*12</f>
        <v>#DIV/0!</v>
      </c>
      <c r="G7" s="37" t="e">
        <f>D7*1000000/C7</f>
        <v>#DIV/0!</v>
      </c>
      <c r="H7" s="49">
        <f>+SUM($D$6:D8)*1000000/SUM($C$6:C8)</f>
        <v>0</v>
      </c>
      <c r="I7" s="49">
        <f t="shared" ref="I7:I17" si="1">+H7/1000</f>
        <v>0</v>
      </c>
      <c r="J7" s="46">
        <f>+AVERAGE($D$6:D8)</f>
        <v>0</v>
      </c>
      <c r="K7" s="43" t="str">
        <f t="shared" ref="K7:K17" si="2">+IF(J7=0,"Sin eventos registrados",30/J7)</f>
        <v>Sin eventos registrados</v>
      </c>
    </row>
    <row r="8" spans="1:18">
      <c r="A8" s="4">
        <v>45352</v>
      </c>
      <c r="B8" s="5">
        <v>24</v>
      </c>
      <c r="C8" s="41">
        <v>1920</v>
      </c>
      <c r="D8" s="28">
        <v>0</v>
      </c>
      <c r="E8" s="5">
        <v>0</v>
      </c>
      <c r="F8" s="38">
        <f t="shared" si="0"/>
        <v>0</v>
      </c>
      <c r="G8" s="37">
        <f>D8*1000000/C8</f>
        <v>0</v>
      </c>
      <c r="H8" s="49">
        <f>+SUM($D$6:D9)*1000000/SUM($C$6:C9)</f>
        <v>0</v>
      </c>
      <c r="I8" s="49">
        <f t="shared" si="1"/>
        <v>0</v>
      </c>
      <c r="J8" s="46">
        <f>+AVERAGE($D$6:D9)</f>
        <v>0</v>
      </c>
      <c r="K8" s="43" t="str">
        <f t="shared" si="2"/>
        <v>Sin eventos registrados</v>
      </c>
    </row>
    <row r="9" spans="1:18">
      <c r="A9" s="4">
        <v>45383</v>
      </c>
      <c r="B9" s="5">
        <v>0</v>
      </c>
      <c r="C9" s="41">
        <f t="shared" ref="C9:C17" si="3">B9*8*22</f>
        <v>0</v>
      </c>
      <c r="D9" s="5">
        <v>0</v>
      </c>
      <c r="E9" s="5">
        <v>0</v>
      </c>
      <c r="F9" s="38" t="e">
        <f t="shared" si="0"/>
        <v>#DIV/0!</v>
      </c>
      <c r="G9" s="37" t="e">
        <f>D9*1000000/C9</f>
        <v>#DIV/0!</v>
      </c>
      <c r="H9" s="49">
        <f>+SUM($D$6:D10)*1000000/SUM($C$6:C10)</f>
        <v>0</v>
      </c>
      <c r="I9" s="49">
        <f>+H9/1000</f>
        <v>0</v>
      </c>
      <c r="J9" s="46">
        <f>+AVERAGE($D$6:D10)</f>
        <v>0</v>
      </c>
      <c r="K9" s="43" t="str">
        <f>+IF(J9=0,"Sin eventos registrados",30/J9)</f>
        <v>Sin eventos registrados</v>
      </c>
    </row>
    <row r="10" spans="1:18">
      <c r="A10" s="4">
        <v>45413</v>
      </c>
      <c r="B10" s="5">
        <v>0</v>
      </c>
      <c r="C10" s="41">
        <f t="shared" si="3"/>
        <v>0</v>
      </c>
      <c r="D10" s="5">
        <v>0</v>
      </c>
      <c r="E10" s="5">
        <v>0</v>
      </c>
      <c r="F10" s="38" t="e">
        <f t="shared" si="0"/>
        <v>#DIV/0!</v>
      </c>
      <c r="G10" s="37" t="e">
        <f t="shared" ref="G10:G17" si="4">D10*1000000/C10</f>
        <v>#DIV/0!</v>
      </c>
      <c r="H10" s="49">
        <f>+SUM($D$6:D11)*1000000/SUM($C$6:C11)</f>
        <v>0</v>
      </c>
      <c r="I10" s="49">
        <f t="shared" si="1"/>
        <v>0</v>
      </c>
      <c r="J10" s="46">
        <f>+AVERAGE($D$6:D11)</f>
        <v>0</v>
      </c>
      <c r="K10" s="43" t="str">
        <f>+IF(J10=0,"Sin eventos registrados",30/J10)</f>
        <v>Sin eventos registrados</v>
      </c>
    </row>
    <row r="11" spans="1:18">
      <c r="A11" s="4">
        <v>45444</v>
      </c>
      <c r="B11" s="5">
        <v>0</v>
      </c>
      <c r="C11" s="41">
        <f t="shared" si="3"/>
        <v>0</v>
      </c>
      <c r="D11" s="5">
        <v>0</v>
      </c>
      <c r="E11" s="5">
        <v>0</v>
      </c>
      <c r="F11" s="38" t="e">
        <f>D11*1000/B11</f>
        <v>#DIV/0!</v>
      </c>
      <c r="G11" s="37" t="e">
        <f>D11*1000000/C11</f>
        <v>#DIV/0!</v>
      </c>
      <c r="H11" s="49">
        <f>+SUM($D$6:D12)*1000000/SUM($C$6:C12)</f>
        <v>0</v>
      </c>
      <c r="I11" s="49">
        <f t="shared" si="1"/>
        <v>0</v>
      </c>
      <c r="J11" s="46">
        <f>+AVERAGE($D$6:D12)</f>
        <v>0</v>
      </c>
      <c r="K11" s="43" t="str">
        <f t="shared" si="2"/>
        <v>Sin eventos registrados</v>
      </c>
    </row>
    <row r="12" spans="1:18">
      <c r="A12" s="4">
        <v>45474</v>
      </c>
      <c r="B12" s="5">
        <v>0</v>
      </c>
      <c r="C12" s="41">
        <f t="shared" si="3"/>
        <v>0</v>
      </c>
      <c r="D12" s="28">
        <v>0</v>
      </c>
      <c r="E12" s="5">
        <v>0</v>
      </c>
      <c r="F12" s="38" t="e">
        <f>D12*1000/B12*12</f>
        <v>#DIV/0!</v>
      </c>
      <c r="G12" s="37" t="e">
        <f t="shared" si="4"/>
        <v>#DIV/0!</v>
      </c>
      <c r="H12" s="49">
        <f>+SUM($D$6:D13)*1000000/SUM($C$6:C13)</f>
        <v>0</v>
      </c>
      <c r="I12" s="49">
        <f t="shared" si="1"/>
        <v>0</v>
      </c>
      <c r="J12" s="46">
        <f>+AVERAGE($D$6:D13)</f>
        <v>0</v>
      </c>
      <c r="K12" s="43" t="str">
        <f t="shared" si="2"/>
        <v>Sin eventos registrados</v>
      </c>
    </row>
    <row r="13" spans="1:18">
      <c r="A13" s="4">
        <v>45505</v>
      </c>
      <c r="B13" s="5">
        <v>0</v>
      </c>
      <c r="C13" s="41">
        <v>0</v>
      </c>
      <c r="D13" s="28">
        <v>0</v>
      </c>
      <c r="E13" s="5">
        <v>0</v>
      </c>
      <c r="F13" s="38" t="e">
        <f t="shared" si="0"/>
        <v>#DIV/0!</v>
      </c>
      <c r="G13" s="37" t="e">
        <f t="shared" si="4"/>
        <v>#DIV/0!</v>
      </c>
      <c r="H13" s="49">
        <f>+SUM($D$6:D14)*1000000/SUM($C$6:C14)</f>
        <v>0</v>
      </c>
      <c r="I13" s="49">
        <f>+H13/1000</f>
        <v>0</v>
      </c>
      <c r="J13" s="46">
        <f>+AVERAGE($D$6:D14)</f>
        <v>0</v>
      </c>
      <c r="K13" s="43" t="str">
        <f t="shared" si="2"/>
        <v>Sin eventos registrados</v>
      </c>
    </row>
    <row r="14" spans="1:18">
      <c r="A14" s="4">
        <v>45536</v>
      </c>
      <c r="B14" s="5">
        <v>0</v>
      </c>
      <c r="C14" s="41">
        <f t="shared" si="3"/>
        <v>0</v>
      </c>
      <c r="D14" s="5">
        <v>0</v>
      </c>
      <c r="E14" s="5">
        <v>0</v>
      </c>
      <c r="F14" s="38" t="e">
        <f t="shared" si="0"/>
        <v>#DIV/0!</v>
      </c>
      <c r="G14" s="37" t="e">
        <f t="shared" si="4"/>
        <v>#DIV/0!</v>
      </c>
      <c r="H14" s="49">
        <f>+SUM($D$6:D15)*1000000/SUM($C$6:C15)</f>
        <v>0</v>
      </c>
      <c r="I14" s="49">
        <f t="shared" si="1"/>
        <v>0</v>
      </c>
      <c r="J14" s="46">
        <f>+AVERAGE($D$6:D15)</f>
        <v>0</v>
      </c>
      <c r="K14" s="43" t="str">
        <f t="shared" si="2"/>
        <v>Sin eventos registrados</v>
      </c>
    </row>
    <row r="15" spans="1:18">
      <c r="A15" s="4">
        <v>45566</v>
      </c>
      <c r="B15" s="5">
        <v>0</v>
      </c>
      <c r="C15" s="41">
        <f t="shared" si="3"/>
        <v>0</v>
      </c>
      <c r="D15" s="5">
        <v>0</v>
      </c>
      <c r="E15" s="5">
        <v>0</v>
      </c>
      <c r="F15" s="38" t="e">
        <f t="shared" si="0"/>
        <v>#DIV/0!</v>
      </c>
      <c r="G15" s="37" t="e">
        <f t="shared" si="4"/>
        <v>#DIV/0!</v>
      </c>
      <c r="H15" s="49">
        <f>+SUM($D$6:D16)*1000000/SUM($C$6:C16)</f>
        <v>0</v>
      </c>
      <c r="I15" s="49">
        <f t="shared" si="1"/>
        <v>0</v>
      </c>
      <c r="J15" s="46">
        <f>+AVERAGE($D$6:D16)</f>
        <v>0</v>
      </c>
      <c r="K15" s="43" t="str">
        <f t="shared" si="2"/>
        <v>Sin eventos registrados</v>
      </c>
    </row>
    <row r="16" spans="1:18">
      <c r="A16" s="4">
        <v>45597</v>
      </c>
      <c r="B16" s="5">
        <v>0</v>
      </c>
      <c r="C16" s="41">
        <f t="shared" si="3"/>
        <v>0</v>
      </c>
      <c r="D16" s="5">
        <v>0</v>
      </c>
      <c r="E16" s="5">
        <v>0</v>
      </c>
      <c r="F16" s="38" t="e">
        <f t="shared" si="0"/>
        <v>#DIV/0!</v>
      </c>
      <c r="G16" s="37" t="e">
        <f t="shared" si="4"/>
        <v>#DIV/0!</v>
      </c>
      <c r="H16" s="49">
        <f>+SUM($D$6:D17)*1000000/SUM($C$6:C17)</f>
        <v>0</v>
      </c>
      <c r="I16" s="49">
        <f t="shared" si="1"/>
        <v>0</v>
      </c>
      <c r="J16" s="46">
        <f>+AVERAGE($D$6:D17)</f>
        <v>0</v>
      </c>
      <c r="K16" s="43" t="str">
        <f t="shared" si="2"/>
        <v>Sin eventos registrados</v>
      </c>
    </row>
    <row r="17" spans="1:12">
      <c r="A17" s="4">
        <v>45627</v>
      </c>
      <c r="B17" s="5">
        <v>0</v>
      </c>
      <c r="C17" s="41">
        <f t="shared" si="3"/>
        <v>0</v>
      </c>
      <c r="D17" s="5">
        <v>0</v>
      </c>
      <c r="E17" s="5">
        <v>0</v>
      </c>
      <c r="F17" s="38" t="e">
        <f t="shared" si="0"/>
        <v>#DIV/0!</v>
      </c>
      <c r="G17" s="37" t="e">
        <f t="shared" si="4"/>
        <v>#DIV/0!</v>
      </c>
      <c r="H17" s="49">
        <f>+SUM($D$6:D18)*1000000/SUM($C$6:C18)</f>
        <v>0</v>
      </c>
      <c r="I17" s="49">
        <f t="shared" si="1"/>
        <v>0</v>
      </c>
      <c r="J17" s="46">
        <f>+AVERAGE($D$6:D18)</f>
        <v>0</v>
      </c>
      <c r="K17" s="43" t="str">
        <f t="shared" si="2"/>
        <v>Sin eventos registrados</v>
      </c>
    </row>
    <row r="18" spans="1:12">
      <c r="A18" s="4"/>
      <c r="B18" s="5">
        <v>0</v>
      </c>
      <c r="C18" s="5"/>
      <c r="D18" s="5"/>
      <c r="E18" s="5"/>
      <c r="F18" s="38"/>
      <c r="G18" s="37"/>
    </row>
    <row r="19" spans="1:12">
      <c r="A19" s="3" t="s">
        <v>326</v>
      </c>
      <c r="B19" s="5">
        <f>SUM(B6:B17)/12</f>
        <v>3.5</v>
      </c>
      <c r="C19" s="5">
        <f>SUM(C6:C17)</f>
        <v>6150</v>
      </c>
      <c r="D19" s="5">
        <f>SUM(D6:D17)</f>
        <v>0</v>
      </c>
      <c r="E19" s="10">
        <f>SUM(E6:E17)</f>
        <v>0</v>
      </c>
      <c r="F19" s="38">
        <f>D19*1000/B19</f>
        <v>0</v>
      </c>
      <c r="G19" s="37"/>
    </row>
    <row r="20" spans="1:12">
      <c r="A20" s="2"/>
    </row>
    <row r="21" spans="1:12">
      <c r="A21" s="2"/>
      <c r="I21" s="74"/>
      <c r="J21" s="74"/>
      <c r="K21" s="74"/>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055118110236221" right="0.51181102362204722" top="0.55118110236220474" bottom="0.55118110236220474" header="0.31496062992125984" footer="0.31496062992125984"/>
  <pageSetup paperSize="9" scale="86" orientation="portrait" verticalDpi="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R59"/>
  <sheetViews>
    <sheetView workbookViewId="0">
      <selection activeCell="C9" sqref="C9"/>
    </sheetView>
  </sheetViews>
  <sheetFormatPr defaultColWidth="11.42578125" defaultRowHeight="13.15"/>
  <cols>
    <col min="1" max="2" width="14.28515625" customWidth="1"/>
    <col min="3" max="3" width="21.42578125" customWidth="1"/>
    <col min="4" max="5" width="14.28515625" customWidth="1"/>
    <col min="6" max="6" width="14.28515625" style="2" customWidth="1"/>
    <col min="8" max="8" width="30.7109375" bestFit="1" customWidth="1"/>
    <col min="9" max="9" width="18.7109375" customWidth="1"/>
    <col min="10" max="10" width="26.85546875" bestFit="1" customWidth="1"/>
    <col min="11" max="11" width="34.7109375" bestFit="1" customWidth="1"/>
    <col min="16" max="16" width="21.7109375" customWidth="1"/>
    <col min="17" max="17" width="24.7109375" customWidth="1"/>
  </cols>
  <sheetData>
    <row r="1" spans="1:18" ht="41.25" customHeight="1">
      <c r="A1" s="13"/>
      <c r="C1" s="25" t="s">
        <v>312</v>
      </c>
      <c r="F1" s="15">
        <v>2024</v>
      </c>
      <c r="P1" s="1"/>
      <c r="Q1" s="9"/>
      <c r="R1" s="12"/>
    </row>
    <row r="2" spans="1:18" ht="22.15">
      <c r="A2" s="14" t="s">
        <v>352</v>
      </c>
      <c r="C2" s="9"/>
      <c r="F2" s="11"/>
      <c r="P2" s="1"/>
      <c r="Q2" s="9"/>
      <c r="R2" s="12"/>
    </row>
    <row r="3" spans="1:18" ht="21" customHeight="1">
      <c r="C3" s="9" t="s">
        <v>314</v>
      </c>
      <c r="H3" s="47" t="s">
        <v>315</v>
      </c>
      <c r="I3" s="47"/>
      <c r="K3" s="47" t="s">
        <v>315</v>
      </c>
    </row>
    <row r="4" spans="1:18" ht="52.9">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4</v>
      </c>
      <c r="C6" s="5">
        <v>624</v>
      </c>
      <c r="D6" s="5">
        <v>0</v>
      </c>
      <c r="E6" s="5">
        <v>0</v>
      </c>
      <c r="F6" s="5">
        <f t="shared" ref="F6:F17" si="0">D6*1000/B6*12</f>
        <v>0</v>
      </c>
      <c r="G6" s="37">
        <f>D6*1000000/C6</f>
        <v>0</v>
      </c>
      <c r="H6" s="49">
        <f>+D7*1000000/C7</f>
        <v>0</v>
      </c>
      <c r="I6" s="49">
        <f>+H6/1000</f>
        <v>0</v>
      </c>
      <c r="J6" s="46">
        <f>+AVERAGE($D$6:D7)</f>
        <v>0</v>
      </c>
      <c r="K6" s="43" t="str">
        <f>+IF(J6=0,"Sin eventos registrados",30/J6)</f>
        <v>Sin eventos registrados</v>
      </c>
    </row>
    <row r="7" spans="1:18">
      <c r="A7" s="4">
        <v>45323</v>
      </c>
      <c r="B7" s="5">
        <v>3</v>
      </c>
      <c r="C7" s="5">
        <f>B7*200</f>
        <v>600</v>
      </c>
      <c r="D7" s="5">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45352</v>
      </c>
      <c r="B8" s="5">
        <v>2</v>
      </c>
      <c r="C8" s="5">
        <f>200*B8</f>
        <v>400</v>
      </c>
      <c r="D8" s="5">
        <v>0</v>
      </c>
      <c r="E8" s="5">
        <v>0</v>
      </c>
      <c r="F8" s="5">
        <f t="shared" si="0"/>
        <v>0</v>
      </c>
      <c r="G8" s="37">
        <f>D8*1000000/C8</f>
        <v>0</v>
      </c>
      <c r="H8" s="49">
        <f>+SUM($D$6:D9)*1000000/SUM($C$6:C9)</f>
        <v>0</v>
      </c>
      <c r="I8" s="49">
        <f t="shared" si="1"/>
        <v>0</v>
      </c>
      <c r="J8" s="46">
        <f>+AVERAGE($D$6:D9)</f>
        <v>0</v>
      </c>
      <c r="K8" s="43" t="str">
        <f t="shared" si="2"/>
        <v>Sin eventos registrados</v>
      </c>
    </row>
    <row r="9" spans="1:18">
      <c r="A9" s="4">
        <v>45383</v>
      </c>
      <c r="B9" s="5">
        <v>2</v>
      </c>
      <c r="C9" s="5">
        <f>200*B9</f>
        <v>400</v>
      </c>
      <c r="D9" s="5">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45413</v>
      </c>
      <c r="B10" s="5">
        <v>0</v>
      </c>
      <c r="C10" s="5">
        <v>0</v>
      </c>
      <c r="D10" s="5">
        <v>0</v>
      </c>
      <c r="E10" s="5">
        <v>0</v>
      </c>
      <c r="F10" s="5" t="e">
        <f>D10*1000/B10</f>
        <v>#DIV/0!</v>
      </c>
      <c r="G10" s="37" t="e">
        <f t="shared" ref="G10:G17" si="3">D10*1000000/C10</f>
        <v>#DIV/0!</v>
      </c>
      <c r="H10" s="49">
        <f>+SUM($D$6:D11)*1000000/SUM($C$6:C11)</f>
        <v>0</v>
      </c>
      <c r="I10" s="49">
        <f t="shared" si="1"/>
        <v>0</v>
      </c>
      <c r="J10" s="46">
        <f>+AVERAGE($D$6:D11)</f>
        <v>0</v>
      </c>
      <c r="K10" s="43" t="str">
        <f>+IF(J10=0,"Sin eventos registrados",30/J10)</f>
        <v>Sin eventos registrados</v>
      </c>
    </row>
    <row r="11" spans="1:18">
      <c r="A11" s="4">
        <v>45444</v>
      </c>
      <c r="B11" s="5">
        <v>0</v>
      </c>
      <c r="C11" s="5">
        <v>0</v>
      </c>
      <c r="D11" s="5">
        <v>0</v>
      </c>
      <c r="E11" s="5">
        <v>0</v>
      </c>
      <c r="F11" s="5" t="e">
        <f t="shared" si="0"/>
        <v>#DIV/0!</v>
      </c>
      <c r="G11" s="37" t="e">
        <f>D11*1000000/C11</f>
        <v>#DIV/0!</v>
      </c>
      <c r="H11" s="49">
        <f>+SUM($D$6:D12)*1000000/SUM($C$6:C12)</f>
        <v>0</v>
      </c>
      <c r="I11" s="49">
        <f t="shared" si="1"/>
        <v>0</v>
      </c>
      <c r="J11" s="46">
        <f>+AVERAGE($D$6:D12)</f>
        <v>0</v>
      </c>
      <c r="K11" s="43" t="str">
        <f t="shared" si="2"/>
        <v>Sin eventos registrados</v>
      </c>
    </row>
    <row r="12" spans="1:18">
      <c r="A12" s="4">
        <v>45474</v>
      </c>
      <c r="B12" s="5">
        <v>0</v>
      </c>
      <c r="C12" s="5">
        <v>0</v>
      </c>
      <c r="D12" s="5">
        <v>0</v>
      </c>
      <c r="E12" s="5">
        <v>0</v>
      </c>
      <c r="F12" s="5" t="e">
        <f t="shared" si="0"/>
        <v>#DIV/0!</v>
      </c>
      <c r="G12" s="37" t="e">
        <f t="shared" si="3"/>
        <v>#DIV/0!</v>
      </c>
      <c r="H12" s="49">
        <f>+SUM($D$6:D13)*1000000/SUM($C$6:C13)</f>
        <v>0</v>
      </c>
      <c r="I12" s="49">
        <f t="shared" si="1"/>
        <v>0</v>
      </c>
      <c r="J12" s="46">
        <f>+AVERAGE($D$6:D13)</f>
        <v>0</v>
      </c>
      <c r="K12" s="43" t="str">
        <f t="shared" si="2"/>
        <v>Sin eventos registrados</v>
      </c>
    </row>
    <row r="13" spans="1:18">
      <c r="A13" s="4">
        <v>45505</v>
      </c>
      <c r="B13" s="5">
        <v>0</v>
      </c>
      <c r="C13" s="5">
        <v>0</v>
      </c>
      <c r="D13" s="5">
        <v>0</v>
      </c>
      <c r="E13" s="5">
        <v>0</v>
      </c>
      <c r="F13" s="5" t="e">
        <f t="shared" si="0"/>
        <v>#DIV/0!</v>
      </c>
      <c r="G13" s="37" t="e">
        <f t="shared" si="3"/>
        <v>#DIV/0!</v>
      </c>
      <c r="H13" s="49">
        <f>+SUM($D$6:D14)*1000000/SUM($C$6:C14)</f>
        <v>0</v>
      </c>
      <c r="I13" s="49">
        <f>+H13/1000</f>
        <v>0</v>
      </c>
      <c r="J13" s="46">
        <f>+AVERAGE($D$6:D14)</f>
        <v>0</v>
      </c>
      <c r="K13" s="43" t="str">
        <f t="shared" si="2"/>
        <v>Sin eventos registrados</v>
      </c>
    </row>
    <row r="14" spans="1:18">
      <c r="A14" s="4">
        <v>45536</v>
      </c>
      <c r="B14" s="5">
        <v>0</v>
      </c>
      <c r="C14" s="5">
        <v>0</v>
      </c>
      <c r="D14" s="5">
        <v>0</v>
      </c>
      <c r="E14" s="5">
        <v>0</v>
      </c>
      <c r="F14" s="5" t="e">
        <f t="shared" si="0"/>
        <v>#DIV/0!</v>
      </c>
      <c r="G14" s="37" t="e">
        <f t="shared" si="3"/>
        <v>#DIV/0!</v>
      </c>
      <c r="H14" s="49">
        <f>+SUM($D$6:D15)*1000000/SUM($C$6:C15)</f>
        <v>0</v>
      </c>
      <c r="I14" s="49">
        <f t="shared" si="1"/>
        <v>0</v>
      </c>
      <c r="J14" s="46">
        <f>+AVERAGE($D$6:D15)</f>
        <v>0</v>
      </c>
      <c r="K14" s="43" t="str">
        <f t="shared" si="2"/>
        <v>Sin eventos registrados</v>
      </c>
    </row>
    <row r="15" spans="1:18">
      <c r="A15" s="4">
        <v>45566</v>
      </c>
      <c r="B15" s="5">
        <v>0</v>
      </c>
      <c r="C15" s="5">
        <v>0</v>
      </c>
      <c r="D15" s="5">
        <v>0</v>
      </c>
      <c r="E15" s="5">
        <v>0</v>
      </c>
      <c r="F15" s="5" t="e">
        <f t="shared" si="0"/>
        <v>#DIV/0!</v>
      </c>
      <c r="G15" s="37" t="e">
        <f t="shared" si="3"/>
        <v>#DIV/0!</v>
      </c>
      <c r="H15" s="49">
        <f>+SUM($D$6:D16)*1000000/SUM($C$6:C16)</f>
        <v>0</v>
      </c>
      <c r="I15" s="49">
        <f t="shared" si="1"/>
        <v>0</v>
      </c>
      <c r="J15" s="46">
        <f>+AVERAGE($D$6:D16)</f>
        <v>0</v>
      </c>
      <c r="K15" s="43" t="str">
        <f t="shared" si="2"/>
        <v>Sin eventos registrados</v>
      </c>
    </row>
    <row r="16" spans="1:18">
      <c r="A16" s="4">
        <v>45597</v>
      </c>
      <c r="B16" s="5">
        <v>0</v>
      </c>
      <c r="C16" s="5">
        <v>0</v>
      </c>
      <c r="D16" s="5">
        <v>0</v>
      </c>
      <c r="E16" s="5">
        <v>0</v>
      </c>
      <c r="F16" s="5" t="e">
        <f t="shared" si="0"/>
        <v>#DIV/0!</v>
      </c>
      <c r="G16" s="37" t="e">
        <f t="shared" si="3"/>
        <v>#DIV/0!</v>
      </c>
      <c r="H16" s="49">
        <f>+SUM($D$6:D17)*1000000/SUM($C$6:C17)</f>
        <v>0</v>
      </c>
      <c r="I16" s="49">
        <f t="shared" si="1"/>
        <v>0</v>
      </c>
      <c r="J16" s="46">
        <f>+AVERAGE($D$6:D17)</f>
        <v>0</v>
      </c>
      <c r="K16" s="43" t="str">
        <f t="shared" si="2"/>
        <v>Sin eventos registrados</v>
      </c>
    </row>
    <row r="17" spans="1:12">
      <c r="A17" s="4">
        <v>45627</v>
      </c>
      <c r="B17" s="5">
        <v>0</v>
      </c>
      <c r="C17" s="5">
        <v>0</v>
      </c>
      <c r="D17" s="5">
        <v>0</v>
      </c>
      <c r="E17" s="5">
        <v>0</v>
      </c>
      <c r="F17" s="5" t="e">
        <f t="shared" si="0"/>
        <v>#DIV/0!</v>
      </c>
      <c r="G17" s="37" t="e">
        <f t="shared" si="3"/>
        <v>#DIV/0!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SUM(B6:B17)/12</f>
        <v>0.91666666666666663</v>
      </c>
      <c r="C19" s="5">
        <f>SUM(C6:C17)</f>
        <v>2024</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0" spans="1:12">
      <c r="H30" s="75"/>
      <c r="I30" s="75"/>
      <c r="J30"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353</v>
      </c>
      <c r="F58" s="27"/>
    </row>
    <row r="59" spans="5: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R59"/>
  <sheetViews>
    <sheetView workbookViewId="0">
      <selection activeCell="C12" sqref="C12"/>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7.42578125" customWidth="1"/>
    <col min="10" max="10" width="11.85546875"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2024</v>
      </c>
      <c r="P1" s="1"/>
      <c r="Q1" s="9"/>
      <c r="R1" s="12"/>
    </row>
    <row r="2" spans="1:18" ht="22.15">
      <c r="A2" s="14" t="s">
        <v>24</v>
      </c>
      <c r="C2" s="9"/>
      <c r="F2" s="11"/>
      <c r="P2" s="1"/>
      <c r="Q2" s="9"/>
      <c r="R2" s="12"/>
    </row>
    <row r="3" spans="1:18" ht="21" customHeight="1">
      <c r="C3" s="9" t="s">
        <v>314</v>
      </c>
      <c r="H3" s="47" t="s">
        <v>315</v>
      </c>
      <c r="I3" s="47"/>
      <c r="K3" s="47" t="s">
        <v>315</v>
      </c>
    </row>
    <row r="4" spans="1:18" ht="52.9">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8</v>
      </c>
      <c r="C6" s="5">
        <v>1880</v>
      </c>
      <c r="D6" s="5">
        <v>0</v>
      </c>
      <c r="E6" s="5">
        <v>0</v>
      </c>
      <c r="F6" s="5">
        <f t="shared" ref="F6:F17" si="0">D6*1000/B6*12</f>
        <v>0</v>
      </c>
      <c r="G6" s="37">
        <f>D6*1000000/C6</f>
        <v>0</v>
      </c>
      <c r="H6" s="49">
        <f>+D7*1000000/C7</f>
        <v>0</v>
      </c>
      <c r="I6" s="49">
        <f>+H6/1000</f>
        <v>0</v>
      </c>
      <c r="J6" s="46">
        <f>+AVERAGE($D$6:D7)</f>
        <v>0</v>
      </c>
      <c r="K6" s="43" t="str">
        <f>+IF(J6=0,"Sin eventos registrados",30/J6)</f>
        <v>Sin eventos registrados</v>
      </c>
    </row>
    <row r="7" spans="1:18">
      <c r="A7" s="4">
        <v>45323</v>
      </c>
      <c r="B7" s="5">
        <v>8</v>
      </c>
      <c r="C7" s="5">
        <v>1800</v>
      </c>
      <c r="D7" s="5">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45352</v>
      </c>
      <c r="B8" s="5">
        <v>8</v>
      </c>
      <c r="C8" s="5">
        <v>1768</v>
      </c>
      <c r="D8" s="5">
        <v>0</v>
      </c>
      <c r="E8" s="5">
        <v>0</v>
      </c>
      <c r="F8" s="5">
        <f t="shared" si="0"/>
        <v>0</v>
      </c>
      <c r="G8" s="37">
        <f>D8*1000000/C8</f>
        <v>0</v>
      </c>
      <c r="H8" s="49">
        <f>+SUM($D$6:D9)*1000000/SUM($C$6:C9)</f>
        <v>0</v>
      </c>
      <c r="I8" s="49">
        <f t="shared" si="1"/>
        <v>0</v>
      </c>
      <c r="J8" s="46">
        <f>+AVERAGE($D$6:D9)</f>
        <v>0</v>
      </c>
      <c r="K8" s="43" t="str">
        <f t="shared" si="2"/>
        <v>Sin eventos registrados</v>
      </c>
    </row>
    <row r="9" spans="1:18">
      <c r="A9" s="4">
        <v>45383</v>
      </c>
      <c r="B9" s="5">
        <v>5</v>
      </c>
      <c r="C9" s="5">
        <f>B9*200</f>
        <v>1000</v>
      </c>
      <c r="D9" s="5">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45413</v>
      </c>
      <c r="B10" s="5">
        <v>6</v>
      </c>
      <c r="C10" s="5">
        <v>1416</v>
      </c>
      <c r="D10" s="5">
        <v>0</v>
      </c>
      <c r="E10" s="5">
        <v>0</v>
      </c>
      <c r="F10" s="5">
        <f t="shared" si="0"/>
        <v>0</v>
      </c>
      <c r="G10" s="37">
        <f t="shared" ref="G10:G17" si="3">D10*1000000/C10</f>
        <v>0</v>
      </c>
      <c r="H10" s="49">
        <f>+SUM($D$6:D11)*1000000/SUM($C$6:C11)</f>
        <v>0</v>
      </c>
      <c r="I10" s="49">
        <f t="shared" si="1"/>
        <v>0</v>
      </c>
      <c r="J10" s="46">
        <f>+AVERAGE($D$6:D11)</f>
        <v>0</v>
      </c>
      <c r="K10" s="43" t="str">
        <f>+IF(J10=0,"Sin eventos registrados",30/J10)</f>
        <v>Sin eventos registrados</v>
      </c>
    </row>
    <row r="11" spans="1:18">
      <c r="A11" s="4">
        <v>45444</v>
      </c>
      <c r="B11" s="5">
        <v>6</v>
      </c>
      <c r="C11" s="5">
        <f>B11*200</f>
        <v>1200</v>
      </c>
      <c r="D11" s="5">
        <v>0</v>
      </c>
      <c r="E11" s="5">
        <v>0</v>
      </c>
      <c r="F11" s="5">
        <f t="shared" si="0"/>
        <v>0</v>
      </c>
      <c r="G11" s="37">
        <f>D11*1000000/C11</f>
        <v>0</v>
      </c>
      <c r="H11" s="49">
        <f>+SUM($D$6:D12)*1000000/SUM($C$6:C12)</f>
        <v>0</v>
      </c>
      <c r="I11" s="49">
        <f t="shared" si="1"/>
        <v>0</v>
      </c>
      <c r="J11" s="46">
        <f>+AVERAGE($D$6:D12)</f>
        <v>0</v>
      </c>
      <c r="K11" s="43" t="str">
        <f t="shared" si="2"/>
        <v>Sin eventos registrados</v>
      </c>
    </row>
    <row r="12" spans="1:18">
      <c r="A12" s="4">
        <v>45474</v>
      </c>
      <c r="B12" s="5">
        <v>0</v>
      </c>
      <c r="C12" s="5">
        <f t="shared" ref="C12:C17" si="4">B12*8*22</f>
        <v>0</v>
      </c>
      <c r="D12" s="5">
        <v>0</v>
      </c>
      <c r="E12" s="5">
        <v>0</v>
      </c>
      <c r="F12" s="5" t="e">
        <f>D12*1000/B12</f>
        <v>#DIV/0!</v>
      </c>
      <c r="G12" s="37" t="e">
        <f>D12*1000000/C12</f>
        <v>#DIV/0!</v>
      </c>
      <c r="H12" s="49">
        <f>+SUM($D$6:D13)*1000000/SUM($C$6:C13)</f>
        <v>0</v>
      </c>
      <c r="I12" s="49">
        <f t="shared" si="1"/>
        <v>0</v>
      </c>
      <c r="J12" s="46">
        <f>+AVERAGE($D$6:D13)</f>
        <v>0</v>
      </c>
      <c r="K12" s="43" t="str">
        <f t="shared" si="2"/>
        <v>Sin eventos registrados</v>
      </c>
    </row>
    <row r="13" spans="1:18">
      <c r="A13" s="4">
        <v>45505</v>
      </c>
      <c r="B13" s="5">
        <v>0</v>
      </c>
      <c r="C13" s="5">
        <f t="shared" si="4"/>
        <v>0</v>
      </c>
      <c r="D13" s="5">
        <v>0</v>
      </c>
      <c r="E13" s="5">
        <v>0</v>
      </c>
      <c r="F13" s="5" t="e">
        <f>D13*1000/B13*12</f>
        <v>#DIV/0!</v>
      </c>
      <c r="G13" s="37" t="e">
        <f t="shared" si="3"/>
        <v>#DIV/0!</v>
      </c>
      <c r="H13" s="49">
        <f>+SUM($D$6:D14)*1000000/SUM($C$6:C14)</f>
        <v>0</v>
      </c>
      <c r="I13" s="49">
        <f>+H13/1000</f>
        <v>0</v>
      </c>
      <c r="J13" s="46">
        <f>+AVERAGE($D$6:D14)</f>
        <v>0</v>
      </c>
      <c r="K13" s="43" t="str">
        <f t="shared" si="2"/>
        <v>Sin eventos registrados</v>
      </c>
    </row>
    <row r="14" spans="1:18">
      <c r="A14" s="4">
        <v>45536</v>
      </c>
      <c r="B14" s="5">
        <v>0</v>
      </c>
      <c r="C14" s="5">
        <f t="shared" si="4"/>
        <v>0</v>
      </c>
      <c r="D14" s="5">
        <v>0</v>
      </c>
      <c r="E14" s="5">
        <v>0</v>
      </c>
      <c r="F14" s="5" t="e">
        <f t="shared" si="0"/>
        <v>#DIV/0!</v>
      </c>
      <c r="G14" s="37" t="e">
        <f t="shared" si="3"/>
        <v>#DIV/0!</v>
      </c>
      <c r="H14" s="49">
        <f>+SUM($D$6:D15)*1000000/SUM($C$6:C15)</f>
        <v>0</v>
      </c>
      <c r="I14" s="49">
        <f t="shared" si="1"/>
        <v>0</v>
      </c>
      <c r="J14" s="46">
        <f>+AVERAGE($D$6:D15)</f>
        <v>0</v>
      </c>
      <c r="K14" s="43" t="str">
        <f t="shared" si="2"/>
        <v>Sin eventos registrados</v>
      </c>
    </row>
    <row r="15" spans="1:18">
      <c r="A15" s="4">
        <v>45566</v>
      </c>
      <c r="B15" s="5">
        <v>0</v>
      </c>
      <c r="C15" s="5">
        <f t="shared" si="4"/>
        <v>0</v>
      </c>
      <c r="D15" s="5">
        <v>0</v>
      </c>
      <c r="E15" s="5">
        <v>0</v>
      </c>
      <c r="F15" s="5" t="e">
        <f t="shared" si="0"/>
        <v>#DIV/0!</v>
      </c>
      <c r="G15" s="37" t="e">
        <f t="shared" si="3"/>
        <v>#DIV/0!</v>
      </c>
      <c r="H15" s="49">
        <f>+SUM($D$6:D16)*1000000/SUM($C$6:C16)</f>
        <v>0</v>
      </c>
      <c r="I15" s="49">
        <f t="shared" si="1"/>
        <v>0</v>
      </c>
      <c r="J15" s="46">
        <f>+AVERAGE($D$6:D16)</f>
        <v>0</v>
      </c>
      <c r="K15" s="43" t="str">
        <f t="shared" si="2"/>
        <v>Sin eventos registrados</v>
      </c>
    </row>
    <row r="16" spans="1:18">
      <c r="A16" s="4">
        <v>45597</v>
      </c>
      <c r="B16" s="5">
        <v>0</v>
      </c>
      <c r="C16" s="5">
        <f t="shared" si="4"/>
        <v>0</v>
      </c>
      <c r="D16" s="5">
        <v>0</v>
      </c>
      <c r="E16" s="5">
        <v>0</v>
      </c>
      <c r="F16" s="5" t="e">
        <f t="shared" si="0"/>
        <v>#DIV/0!</v>
      </c>
      <c r="G16" s="37" t="e">
        <f t="shared" si="3"/>
        <v>#DIV/0!</v>
      </c>
      <c r="H16" s="49">
        <f>+SUM($D$6:D17)*1000000/SUM($C$6:C17)</f>
        <v>0</v>
      </c>
      <c r="I16" s="49">
        <f t="shared" si="1"/>
        <v>0</v>
      </c>
      <c r="J16" s="46">
        <f>+AVERAGE($D$6:D17)</f>
        <v>0</v>
      </c>
      <c r="K16" s="43" t="str">
        <f t="shared" si="2"/>
        <v>Sin eventos registrados</v>
      </c>
    </row>
    <row r="17" spans="1:12">
      <c r="A17" s="4">
        <v>45627</v>
      </c>
      <c r="B17" s="5">
        <v>0</v>
      </c>
      <c r="C17" s="5">
        <f t="shared" si="4"/>
        <v>0</v>
      </c>
      <c r="D17" s="5">
        <v>0</v>
      </c>
      <c r="E17" s="5">
        <v>0</v>
      </c>
      <c r="F17" s="5" t="e">
        <f t="shared" si="0"/>
        <v>#DIV/0!</v>
      </c>
      <c r="G17" s="37" t="e">
        <f t="shared" si="3"/>
        <v>#DIV/0!</v>
      </c>
      <c r="H17" s="49">
        <f>+SUM($D$6:D18)*1000000/SUM($C$6:C18)</f>
        <v>0</v>
      </c>
      <c r="I17" s="49">
        <f t="shared" si="1"/>
        <v>0</v>
      </c>
      <c r="J17" s="46">
        <f>+AVERAGE($D$6:D18)</f>
        <v>0</v>
      </c>
      <c r="K17" s="43" t="str">
        <f t="shared" si="2"/>
        <v>Sin eventos registrados</v>
      </c>
    </row>
    <row r="18" spans="1:12">
      <c r="A18" s="4"/>
      <c r="B18" s="5"/>
      <c r="C18" s="5"/>
      <c r="D18" s="5"/>
      <c r="E18" s="5"/>
      <c r="F18" s="5"/>
    </row>
    <row r="19" spans="1:12">
      <c r="A19" s="3" t="s">
        <v>326</v>
      </c>
      <c r="B19" s="5">
        <f>SUM(B6:B17)/12</f>
        <v>3.4166666666666665</v>
      </c>
      <c r="C19" s="5">
        <f>SUM(C6:C17)</f>
        <v>9064</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A1:R59"/>
  <sheetViews>
    <sheetView workbookViewId="0">
      <selection activeCell="D9" sqref="D9"/>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13.28515625" customWidth="1"/>
    <col min="8" max="8" width="36.42578125" style="47" bestFit="1" customWidth="1"/>
    <col min="9" max="9" width="32.140625" style="47" customWidth="1"/>
    <col min="10" max="10" width="27.7109375" customWidth="1"/>
    <col min="11" max="11" width="36.85546875" customWidth="1"/>
    <col min="12" max="12" width="23.140625" customWidth="1"/>
    <col min="13" max="15" width="9.140625"/>
    <col min="16" max="16" width="21.7109375" customWidth="1"/>
    <col min="17" max="17" width="24.7109375" customWidth="1"/>
  </cols>
  <sheetData>
    <row r="1" spans="1:18" ht="41.25" customHeight="1">
      <c r="A1" s="13"/>
      <c r="C1" s="25" t="s">
        <v>312</v>
      </c>
      <c r="F1" s="15">
        <v>2024</v>
      </c>
      <c r="P1" s="1"/>
      <c r="Q1" s="9"/>
      <c r="R1" s="12"/>
    </row>
    <row r="2" spans="1:18" ht="22.15">
      <c r="A2" s="14" t="s">
        <v>21</v>
      </c>
      <c r="C2" s="9"/>
      <c r="F2" s="11"/>
      <c r="P2" s="1"/>
      <c r="Q2" s="9"/>
      <c r="R2" s="12"/>
    </row>
    <row r="3" spans="1:18" ht="21" customHeight="1">
      <c r="C3" s="9" t="s">
        <v>314</v>
      </c>
      <c r="H3" s="47" t="s">
        <v>315</v>
      </c>
      <c r="K3" s="47" t="s">
        <v>315</v>
      </c>
    </row>
    <row r="4" spans="1:18" ht="33.75" customHeight="1">
      <c r="A4" s="3" t="s">
        <v>316</v>
      </c>
      <c r="B4" s="3" t="s">
        <v>317</v>
      </c>
      <c r="C4" s="3" t="s">
        <v>318</v>
      </c>
      <c r="D4" s="3" t="s">
        <v>41</v>
      </c>
      <c r="E4" s="3" t="s">
        <v>319</v>
      </c>
      <c r="F4" s="3" t="s">
        <v>320</v>
      </c>
      <c r="G4" s="44" t="s">
        <v>321</v>
      </c>
      <c r="H4" s="50" t="s">
        <v>322</v>
      </c>
      <c r="I4" s="48" t="s">
        <v>323</v>
      </c>
      <c r="J4" s="45" t="s">
        <v>324</v>
      </c>
      <c r="K4" s="51" t="s">
        <v>325</v>
      </c>
    </row>
    <row r="5" spans="1:18" ht="6.75" customHeight="1">
      <c r="A5" s="2"/>
      <c r="B5" s="2"/>
      <c r="C5" s="2"/>
      <c r="D5" s="2"/>
      <c r="E5" s="2"/>
      <c r="J5" s="42"/>
      <c r="K5" s="42"/>
    </row>
    <row r="6" spans="1:18">
      <c r="A6" s="4">
        <v>45292</v>
      </c>
      <c r="B6" s="5">
        <v>0</v>
      </c>
      <c r="C6" s="41">
        <f>B6*8*22</f>
        <v>0</v>
      </c>
      <c r="D6" s="5">
        <v>0</v>
      </c>
      <c r="E6" s="5">
        <v>0</v>
      </c>
      <c r="F6" s="5" t="e">
        <f t="shared" ref="F6:F17" si="0">D6*1000/B6*12</f>
        <v>#DIV/0!</v>
      </c>
      <c r="G6" s="44" t="e">
        <f>D6*1000000/C6</f>
        <v>#DIV/0!</v>
      </c>
      <c r="H6" s="49" t="e">
        <f>+D6*1000000/C6</f>
        <v>#DIV/0!</v>
      </c>
      <c r="I6" s="49" t="e">
        <f>+H6/1000</f>
        <v>#DIV/0!</v>
      </c>
      <c r="J6" s="46">
        <f>+AVERAGE($D$6:D6)</f>
        <v>0</v>
      </c>
      <c r="K6" s="43" t="str">
        <f>+IF(J6=0,"Sin eventos registrados",30/J6)</f>
        <v>Sin eventos registrados</v>
      </c>
    </row>
    <row r="7" spans="1:18">
      <c r="A7" s="4">
        <v>45323</v>
      </c>
      <c r="B7" s="5">
        <v>0</v>
      </c>
      <c r="C7" s="41">
        <f t="shared" ref="C7:C17" si="1">B7*8*25</f>
        <v>0</v>
      </c>
      <c r="D7" s="5">
        <v>0</v>
      </c>
      <c r="E7" s="5">
        <v>0</v>
      </c>
      <c r="F7" s="5" t="e">
        <f t="shared" si="0"/>
        <v>#DIV/0!</v>
      </c>
      <c r="G7" s="44" t="e">
        <f>D7*1000000/C7</f>
        <v>#DIV/0!</v>
      </c>
      <c r="H7" s="49" t="e">
        <f>+SUM($D$6:D7)*1000000/SUM($C$6:C7)</f>
        <v>#DIV/0!</v>
      </c>
      <c r="I7" s="49" t="e">
        <f t="shared" ref="I7:I17" si="2">+H7/1000</f>
        <v>#DIV/0!</v>
      </c>
      <c r="J7" s="46">
        <f>+AVERAGE($D$6:D7)</f>
        <v>0</v>
      </c>
      <c r="K7" s="43" t="str">
        <f t="shared" ref="K7:K17" si="3">+IF(J7=0,"Sin eventos registrados",30/J7)</f>
        <v>Sin eventos registrados</v>
      </c>
    </row>
    <row r="8" spans="1:18">
      <c r="A8" s="4">
        <v>45352</v>
      </c>
      <c r="B8" s="5">
        <v>13</v>
      </c>
      <c r="C8" s="41">
        <f t="shared" si="1"/>
        <v>2600</v>
      </c>
      <c r="D8" s="5">
        <v>0</v>
      </c>
      <c r="E8" s="5">
        <v>0</v>
      </c>
      <c r="F8" s="5">
        <f t="shared" si="0"/>
        <v>0</v>
      </c>
      <c r="G8" s="44">
        <f>D8*1000000/C8</f>
        <v>0</v>
      </c>
      <c r="H8" s="49">
        <f>+SUM($D$6:D8)*1000000/SUM($C$6:C8)</f>
        <v>0</v>
      </c>
      <c r="I8" s="49">
        <f t="shared" si="2"/>
        <v>0</v>
      </c>
      <c r="J8" s="46">
        <f>+AVERAGE($D$6:D8)</f>
        <v>0</v>
      </c>
      <c r="K8" s="43" t="str">
        <f t="shared" si="3"/>
        <v>Sin eventos registrados</v>
      </c>
    </row>
    <row r="9" spans="1:18">
      <c r="A9" s="4">
        <v>45383</v>
      </c>
      <c r="B9" s="5">
        <v>11</v>
      </c>
      <c r="C9" s="41">
        <f t="shared" si="1"/>
        <v>2200</v>
      </c>
      <c r="D9" s="5">
        <v>0</v>
      </c>
      <c r="E9" s="5">
        <v>0</v>
      </c>
      <c r="F9" s="5">
        <f t="shared" si="0"/>
        <v>0</v>
      </c>
      <c r="G9" s="44">
        <f>D9*1000000/C9</f>
        <v>0</v>
      </c>
      <c r="H9" s="49">
        <f>+SUM($D$6:D9)*1000000/SUM($C$6:C9)</f>
        <v>0</v>
      </c>
      <c r="I9" s="49">
        <f t="shared" si="2"/>
        <v>0</v>
      </c>
      <c r="J9" s="46">
        <f>+AVERAGE($D$6:D9)</f>
        <v>0</v>
      </c>
      <c r="K9" s="43" t="str">
        <f t="shared" si="3"/>
        <v>Sin eventos registrados</v>
      </c>
    </row>
    <row r="10" spans="1:18">
      <c r="A10" s="4">
        <v>45413</v>
      </c>
      <c r="B10" s="5">
        <v>8</v>
      </c>
      <c r="C10" s="41">
        <f t="shared" si="1"/>
        <v>1600</v>
      </c>
      <c r="D10" s="5">
        <v>0</v>
      </c>
      <c r="E10" s="5">
        <v>0</v>
      </c>
      <c r="F10" s="5">
        <f>D10*1000/B10</f>
        <v>0</v>
      </c>
      <c r="G10" s="44">
        <f t="shared" ref="G10:G17" si="4">D10*1000000/C10</f>
        <v>0</v>
      </c>
      <c r="H10" s="49">
        <f>+SUM($D$6:D10)*1000000/SUM($C$6:C10)</f>
        <v>0</v>
      </c>
      <c r="I10" s="49">
        <f t="shared" si="2"/>
        <v>0</v>
      </c>
      <c r="J10" s="46">
        <f>+AVERAGE($D$6:D10)</f>
        <v>0</v>
      </c>
      <c r="K10" s="43" t="str">
        <f>+IF(J10=0,"Sin eventos registrados",30/J10)</f>
        <v>Sin eventos registrados</v>
      </c>
    </row>
    <row r="11" spans="1:18">
      <c r="A11" s="4">
        <v>45444</v>
      </c>
      <c r="B11" s="5">
        <v>9</v>
      </c>
      <c r="C11" s="41">
        <f t="shared" si="1"/>
        <v>1800</v>
      </c>
      <c r="D11" s="5">
        <v>0</v>
      </c>
      <c r="E11" s="5">
        <v>0</v>
      </c>
      <c r="F11" s="5">
        <f t="shared" si="0"/>
        <v>0</v>
      </c>
      <c r="G11" s="44">
        <f>D11*1000000/C11</f>
        <v>0</v>
      </c>
      <c r="H11" s="49">
        <f>+SUM($D$6:D11)*1000000/SUM($C$6:C11)</f>
        <v>0</v>
      </c>
      <c r="I11" s="49">
        <f t="shared" si="2"/>
        <v>0</v>
      </c>
      <c r="J11" s="46">
        <f>+AVERAGE($D$6:D11)</f>
        <v>0</v>
      </c>
      <c r="K11" s="43" t="str">
        <f t="shared" si="3"/>
        <v>Sin eventos registrados</v>
      </c>
    </row>
    <row r="12" spans="1:18">
      <c r="A12" s="4">
        <v>45474</v>
      </c>
      <c r="B12" s="5">
        <v>9</v>
      </c>
      <c r="C12" s="41">
        <f t="shared" si="1"/>
        <v>1800</v>
      </c>
      <c r="D12" s="5">
        <v>0</v>
      </c>
      <c r="E12" s="5">
        <v>0</v>
      </c>
      <c r="F12" s="5">
        <f t="shared" si="0"/>
        <v>0</v>
      </c>
      <c r="G12" s="44">
        <f t="shared" si="4"/>
        <v>0</v>
      </c>
      <c r="H12" s="49">
        <f>+SUM($D$6:D12)*1000000/SUM($C$6:C12)</f>
        <v>0</v>
      </c>
      <c r="I12" s="49">
        <f t="shared" si="2"/>
        <v>0</v>
      </c>
      <c r="J12" s="46">
        <f>+AVERAGE($D$6:D12)</f>
        <v>0</v>
      </c>
      <c r="K12" s="43" t="str">
        <f t="shared" si="3"/>
        <v>Sin eventos registrados</v>
      </c>
    </row>
    <row r="13" spans="1:18">
      <c r="A13" s="4">
        <v>45505</v>
      </c>
      <c r="B13" s="5">
        <v>7</v>
      </c>
      <c r="C13" s="41">
        <f t="shared" si="1"/>
        <v>1400</v>
      </c>
      <c r="D13" s="5">
        <v>0</v>
      </c>
      <c r="E13" s="5">
        <v>0</v>
      </c>
      <c r="F13" s="5">
        <f t="shared" si="0"/>
        <v>0</v>
      </c>
      <c r="G13" s="44">
        <f t="shared" si="4"/>
        <v>0</v>
      </c>
      <c r="H13" s="49">
        <f>+SUM($D$6:D13)*1000000/SUM($C$6:C13)</f>
        <v>0</v>
      </c>
      <c r="I13" s="49">
        <f>+H13/1000</f>
        <v>0</v>
      </c>
      <c r="J13" s="46">
        <f>+AVERAGE($D$6:D13)</f>
        <v>0</v>
      </c>
      <c r="K13" s="43" t="str">
        <f t="shared" si="3"/>
        <v>Sin eventos registrados</v>
      </c>
    </row>
    <row r="14" spans="1:18">
      <c r="A14" s="4">
        <v>45536</v>
      </c>
      <c r="B14" s="5">
        <v>5</v>
      </c>
      <c r="C14" s="41">
        <f t="shared" si="1"/>
        <v>1000</v>
      </c>
      <c r="D14" s="5">
        <v>0</v>
      </c>
      <c r="E14" s="5">
        <v>0</v>
      </c>
      <c r="F14" s="5">
        <f t="shared" si="0"/>
        <v>0</v>
      </c>
      <c r="G14" s="44">
        <f t="shared" si="4"/>
        <v>0</v>
      </c>
      <c r="H14" s="49">
        <f>+SUM($D$6:D14)*1000000/SUM($C$6:C14)</f>
        <v>0</v>
      </c>
      <c r="I14" s="49">
        <f t="shared" si="2"/>
        <v>0</v>
      </c>
      <c r="J14" s="46">
        <f>+AVERAGE($D$6:D14)</f>
        <v>0</v>
      </c>
      <c r="K14" s="43" t="str">
        <f t="shared" si="3"/>
        <v>Sin eventos registrados</v>
      </c>
    </row>
    <row r="15" spans="1:18">
      <c r="A15" s="4">
        <v>45566</v>
      </c>
      <c r="B15" s="5">
        <v>6</v>
      </c>
      <c r="C15" s="41">
        <f t="shared" si="1"/>
        <v>1200</v>
      </c>
      <c r="D15" s="5">
        <v>0</v>
      </c>
      <c r="E15" s="5">
        <v>0</v>
      </c>
      <c r="F15" s="5">
        <f t="shared" si="0"/>
        <v>0</v>
      </c>
      <c r="G15" s="44">
        <f t="shared" si="4"/>
        <v>0</v>
      </c>
      <c r="H15" s="49">
        <f>+SUM($D$6:D15)*1000000/SUM($C$6:C15)</f>
        <v>0</v>
      </c>
      <c r="I15" s="49">
        <f t="shared" si="2"/>
        <v>0</v>
      </c>
      <c r="J15" s="46">
        <f>+AVERAGE($D$6:D15)</f>
        <v>0</v>
      </c>
      <c r="K15" s="43" t="str">
        <f t="shared" si="3"/>
        <v>Sin eventos registrados</v>
      </c>
    </row>
    <row r="16" spans="1:18">
      <c r="A16" s="4">
        <v>45597</v>
      </c>
      <c r="B16" s="5">
        <v>2</v>
      </c>
      <c r="C16" s="41">
        <f t="shared" si="1"/>
        <v>400</v>
      </c>
      <c r="D16" s="5">
        <v>0</v>
      </c>
      <c r="E16" s="5">
        <v>0</v>
      </c>
      <c r="F16" s="5">
        <f t="shared" si="0"/>
        <v>0</v>
      </c>
      <c r="G16" s="44">
        <f t="shared" si="4"/>
        <v>0</v>
      </c>
      <c r="H16" s="49">
        <f>+SUM($D$6:D16)*1000000/SUM($C$6:C16)</f>
        <v>0</v>
      </c>
      <c r="I16" s="49">
        <f t="shared" si="2"/>
        <v>0</v>
      </c>
      <c r="J16" s="46">
        <f>+AVERAGE($D$6:D16)</f>
        <v>0</v>
      </c>
      <c r="K16" s="43" t="str">
        <f t="shared" si="3"/>
        <v>Sin eventos registrados</v>
      </c>
    </row>
    <row r="17" spans="1:12">
      <c r="A17" s="4">
        <v>45627</v>
      </c>
      <c r="B17" s="5">
        <v>1</v>
      </c>
      <c r="C17" s="41">
        <f t="shared" si="1"/>
        <v>200</v>
      </c>
      <c r="D17" s="5">
        <v>0</v>
      </c>
      <c r="E17" s="5">
        <v>0</v>
      </c>
      <c r="F17" s="5">
        <f t="shared" si="0"/>
        <v>0</v>
      </c>
      <c r="G17" s="44">
        <f t="shared" si="4"/>
        <v>0</v>
      </c>
      <c r="H17" s="49">
        <f>+SUM($D$6:D17)*1000000/SUM($C$6:C17)</f>
        <v>0</v>
      </c>
      <c r="I17" s="49">
        <f t="shared" si="2"/>
        <v>0</v>
      </c>
      <c r="J17" s="46">
        <f>+AVERAGE($D$6:D17)</f>
        <v>0</v>
      </c>
      <c r="K17" s="43" t="str">
        <f t="shared" si="3"/>
        <v>Sin eventos registrados</v>
      </c>
    </row>
    <row r="18" spans="1:12">
      <c r="A18" s="4"/>
      <c r="B18" s="5"/>
      <c r="C18" s="5"/>
      <c r="D18" s="5"/>
      <c r="E18" s="5"/>
      <c r="F18" s="5"/>
    </row>
    <row r="19" spans="1:12">
      <c r="A19" s="3" t="s">
        <v>326</v>
      </c>
      <c r="B19" s="5">
        <f>SUM(B6:B17)/12</f>
        <v>5.916666666666667</v>
      </c>
      <c r="C19" s="5">
        <f>SUM(C6:C17)</f>
        <v>14200</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c r="I22" s="74"/>
      <c r="J22" s="75"/>
      <c r="K22" s="75"/>
      <c r="L22" s="75"/>
    </row>
    <row r="23" spans="1:12" ht="20.45">
      <c r="A23" s="16"/>
      <c r="B23" s="6"/>
      <c r="C23" s="8" t="s">
        <v>331</v>
      </c>
      <c r="D23" s="18"/>
      <c r="E23" s="21"/>
      <c r="F23" s="215"/>
      <c r="H23" s="75"/>
      <c r="I23" s="75"/>
      <c r="J23" s="75"/>
      <c r="K23" s="75"/>
      <c r="L23" s="75"/>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c r="I25" s="74"/>
      <c r="J25" s="75"/>
      <c r="K25" s="75"/>
      <c r="L25" s="75"/>
    </row>
    <row r="26" spans="1:12" ht="20.45">
      <c r="A26" s="16"/>
      <c r="B26" s="6"/>
      <c r="C26" s="8" t="s">
        <v>335</v>
      </c>
      <c r="D26" s="18"/>
      <c r="E26" s="21"/>
      <c r="F26" s="215"/>
      <c r="H26" s="75"/>
      <c r="I26" s="75"/>
      <c r="J26" s="75"/>
      <c r="K26" s="75"/>
      <c r="L26" s="75"/>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c r="I28" s="74"/>
      <c r="J28" s="75"/>
      <c r="K28" s="75"/>
      <c r="L28" s="75"/>
    </row>
    <row r="29" spans="1:12" ht="20.45">
      <c r="A29" s="16" t="s">
        <v>338</v>
      </c>
      <c r="B29" s="6"/>
      <c r="C29" s="8" t="s">
        <v>331</v>
      </c>
      <c r="D29" s="18"/>
      <c r="E29" s="21"/>
      <c r="F29" s="215"/>
      <c r="H29" s="75"/>
      <c r="I29" s="75"/>
      <c r="J29" s="75"/>
      <c r="K29" s="75"/>
      <c r="L29" s="75"/>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5:6">
      <c r="E58" t="s">
        <v>340</v>
      </c>
      <c r="F58" s="27"/>
    </row>
    <row r="59" spans="5: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CDE6-7B69-48C0-A4C9-D55C486ED864}">
  <sheetPr>
    <tabColor rgb="FFFF0000"/>
    <pageSetUpPr fitToPage="1"/>
  </sheetPr>
  <dimension ref="A1:R59"/>
  <sheetViews>
    <sheetView workbookViewId="0">
      <selection activeCell="B8" sqref="B8"/>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6.28515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2024</v>
      </c>
      <c r="P1" s="1"/>
      <c r="Q1" s="9"/>
      <c r="R1" s="12"/>
    </row>
    <row r="2" spans="1:18" ht="22.15">
      <c r="A2" s="14" t="s">
        <v>354</v>
      </c>
      <c r="C2" s="9"/>
      <c r="F2" s="11"/>
      <c r="P2" s="1"/>
      <c r="Q2" s="9"/>
      <c r="R2" s="12"/>
    </row>
    <row r="3" spans="1:18" ht="21" customHeight="1">
      <c r="C3" s="9" t="s">
        <v>314</v>
      </c>
      <c r="H3" s="47" t="s">
        <v>315</v>
      </c>
      <c r="I3" s="47"/>
      <c r="K3" s="47" t="s">
        <v>315</v>
      </c>
    </row>
    <row r="4" spans="1:18" ht="6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45292</v>
      </c>
      <c r="B6" s="5">
        <v>0</v>
      </c>
      <c r="C6" s="5">
        <v>0</v>
      </c>
      <c r="D6" s="5">
        <v>0</v>
      </c>
      <c r="E6" s="5">
        <v>0</v>
      </c>
      <c r="F6" s="5" t="e">
        <f t="shared" ref="F6:F17" si="0">D6*1000/B6*12</f>
        <v>#DIV/0!</v>
      </c>
      <c r="G6" s="37" t="e">
        <f>D6*1000000/C6</f>
        <v>#DIV/0!</v>
      </c>
      <c r="H6" s="49">
        <f>+D7*1000000/C7</f>
        <v>0</v>
      </c>
      <c r="I6" s="49">
        <f>+H6/1000</f>
        <v>0</v>
      </c>
      <c r="J6" s="46">
        <f>+AVERAGE($D$6:D7)</f>
        <v>0</v>
      </c>
      <c r="K6" s="43" t="str">
        <f>+IF(J6=0,"Sin eventos registrados",30/J6)</f>
        <v>Sin eventos registrados</v>
      </c>
    </row>
    <row r="7" spans="1:18">
      <c r="A7" s="4">
        <v>45323</v>
      </c>
      <c r="B7" s="5">
        <v>13</v>
      </c>
      <c r="C7" s="5">
        <v>28964</v>
      </c>
      <c r="D7" s="5">
        <v>0</v>
      </c>
      <c r="E7" s="5">
        <v>0</v>
      </c>
      <c r="F7" s="5">
        <f t="shared" si="0"/>
        <v>0</v>
      </c>
      <c r="G7" s="37">
        <f>D7*1000000/C7</f>
        <v>0</v>
      </c>
      <c r="H7" s="49">
        <f>+SUM($D$6:D8)*1000000/SUM($C$6:C8)</f>
        <v>0</v>
      </c>
      <c r="I7" s="49">
        <f t="shared" ref="I7:I17" si="1">+H7/1000</f>
        <v>0</v>
      </c>
      <c r="J7" s="46">
        <f>+AVERAGE($D$6:D8)</f>
        <v>0</v>
      </c>
      <c r="K7" s="43" t="str">
        <f t="shared" ref="K7:K17" si="2">+IF(J7=0,"Sin eventos registrados",30/J7)</f>
        <v>Sin eventos registrados</v>
      </c>
    </row>
    <row r="8" spans="1:18">
      <c r="A8" s="4">
        <v>45352</v>
      </c>
      <c r="B8" s="5">
        <v>0</v>
      </c>
      <c r="C8" s="5">
        <f t="shared" ref="C8:C17" si="3">B8*8*22</f>
        <v>0</v>
      </c>
      <c r="D8" s="5">
        <v>0</v>
      </c>
      <c r="E8" s="5">
        <v>0</v>
      </c>
      <c r="F8" s="5" t="e">
        <f t="shared" si="0"/>
        <v>#DIV/0!</v>
      </c>
      <c r="G8" s="37" t="e">
        <f>D8*1000000/C8</f>
        <v>#DIV/0!</v>
      </c>
      <c r="H8" s="49">
        <f>+SUM($D$6:D9)*1000000/SUM($C$6:C9)</f>
        <v>0</v>
      </c>
      <c r="I8" s="49">
        <f t="shared" si="1"/>
        <v>0</v>
      </c>
      <c r="J8" s="46">
        <f>+AVERAGE($D$6:D9)</f>
        <v>0</v>
      </c>
      <c r="K8" s="43" t="str">
        <f t="shared" si="2"/>
        <v>Sin eventos registrados</v>
      </c>
    </row>
    <row r="9" spans="1:18">
      <c r="A9" s="4">
        <v>45383</v>
      </c>
      <c r="B9" s="5">
        <v>0</v>
      </c>
      <c r="C9" s="5">
        <f t="shared" si="3"/>
        <v>0</v>
      </c>
      <c r="D9" s="5">
        <v>0</v>
      </c>
      <c r="E9" s="5">
        <v>0</v>
      </c>
      <c r="F9" s="5" t="e">
        <f t="shared" si="0"/>
        <v>#DIV/0!</v>
      </c>
      <c r="G9" s="37" t="e">
        <f>D9*1000000/C9</f>
        <v>#DIV/0!</v>
      </c>
      <c r="H9" s="49">
        <f>+SUM($D$6:D10)*1000000/SUM($C$6:C10)</f>
        <v>34.525618008562354</v>
      </c>
      <c r="I9" s="49">
        <f>+H9/1000</f>
        <v>3.4525618008562353E-2</v>
      </c>
      <c r="J9" s="46">
        <f>+AVERAGE($D$6:D10)</f>
        <v>0.2</v>
      </c>
      <c r="K9" s="43">
        <f>+IF(J9=0,"Sin eventos registrados",30/J9)</f>
        <v>150</v>
      </c>
    </row>
    <row r="10" spans="1:18">
      <c r="A10" s="4">
        <v>45413</v>
      </c>
      <c r="B10" s="5">
        <v>0</v>
      </c>
      <c r="C10" s="5">
        <f t="shared" si="3"/>
        <v>0</v>
      </c>
      <c r="D10" s="5">
        <v>1</v>
      </c>
      <c r="E10" s="5">
        <v>0</v>
      </c>
      <c r="F10" s="5" t="e">
        <f t="shared" si="0"/>
        <v>#DIV/0!</v>
      </c>
      <c r="G10" s="37" t="e">
        <f t="shared" ref="G10:G17" si="4">D10*1000000/C10</f>
        <v>#DIV/0!</v>
      </c>
      <c r="H10" s="49">
        <f>+SUM($D$6:D11)*1000000/SUM($C$6:C11)</f>
        <v>34.525618008562354</v>
      </c>
      <c r="I10" s="49">
        <f t="shared" si="1"/>
        <v>3.4525618008562353E-2</v>
      </c>
      <c r="J10" s="46">
        <f>+AVERAGE($D$6:D11)</f>
        <v>0.16666666666666666</v>
      </c>
      <c r="K10" s="43">
        <f>+IF(J10=0,"Sin eventos registrados",30/J10)</f>
        <v>180</v>
      </c>
    </row>
    <row r="11" spans="1:18">
      <c r="A11" s="4">
        <v>45444</v>
      </c>
      <c r="B11" s="5">
        <v>0</v>
      </c>
      <c r="C11" s="5">
        <f t="shared" si="3"/>
        <v>0</v>
      </c>
      <c r="D11" s="5">
        <v>0</v>
      </c>
      <c r="E11" s="5">
        <v>0</v>
      </c>
      <c r="F11" s="5" t="e">
        <f t="shared" si="0"/>
        <v>#DIV/0!</v>
      </c>
      <c r="G11" s="37" t="e">
        <f>D11*1000000/C11</f>
        <v>#DIV/0!</v>
      </c>
      <c r="H11" s="49">
        <f>+SUM($D$6:D12)*1000000/SUM($C$6:C12)</f>
        <v>34.525618008562354</v>
      </c>
      <c r="I11" s="49">
        <f t="shared" si="1"/>
        <v>3.4525618008562353E-2</v>
      </c>
      <c r="J11" s="46">
        <f>+AVERAGE($D$6:D12)</f>
        <v>0.14285714285714285</v>
      </c>
      <c r="K11" s="43">
        <f t="shared" si="2"/>
        <v>210</v>
      </c>
    </row>
    <row r="12" spans="1:18">
      <c r="A12" s="4">
        <v>45474</v>
      </c>
      <c r="B12" s="5">
        <v>0</v>
      </c>
      <c r="C12" s="5">
        <f t="shared" si="3"/>
        <v>0</v>
      </c>
      <c r="D12" s="5">
        <v>0</v>
      </c>
      <c r="E12" s="5">
        <v>0</v>
      </c>
      <c r="F12" s="5" t="e">
        <f>D12*1000/B12</f>
        <v>#DIV/0!</v>
      </c>
      <c r="G12" s="37" t="e">
        <f>D12*1000000/C12</f>
        <v>#DIV/0!</v>
      </c>
      <c r="H12" s="49">
        <f>+SUM($D$6:D13)*1000000/SUM($C$6:C13)</f>
        <v>33.907500339075007</v>
      </c>
      <c r="I12" s="49">
        <f t="shared" si="1"/>
        <v>3.3907500339075004E-2</v>
      </c>
      <c r="J12" s="46">
        <f>+AVERAGE($D$6:D13)</f>
        <v>0.125</v>
      </c>
      <c r="K12" s="43">
        <f t="shared" si="2"/>
        <v>240</v>
      </c>
    </row>
    <row r="13" spans="1:18">
      <c r="A13" s="4">
        <v>45505</v>
      </c>
      <c r="B13" s="5">
        <v>3</v>
      </c>
      <c r="C13" s="5">
        <f t="shared" si="3"/>
        <v>528</v>
      </c>
      <c r="D13" s="5">
        <v>0</v>
      </c>
      <c r="E13" s="5">
        <v>0</v>
      </c>
      <c r="F13" s="5">
        <f>D13*1000/B13*12</f>
        <v>0</v>
      </c>
      <c r="G13" s="37">
        <f t="shared" si="4"/>
        <v>0</v>
      </c>
      <c r="H13" s="49">
        <f>+SUM($D$6:D14)*1000000/SUM($C$6:C14)</f>
        <v>33.507572711432786</v>
      </c>
      <c r="I13" s="49">
        <f>+H13/1000</f>
        <v>3.3507572711432787E-2</v>
      </c>
      <c r="J13" s="46">
        <f>+AVERAGE($D$6:D14)</f>
        <v>0.1111111111111111</v>
      </c>
      <c r="K13" s="43">
        <f t="shared" si="2"/>
        <v>270</v>
      </c>
    </row>
    <row r="14" spans="1:18">
      <c r="A14" s="4">
        <v>45536</v>
      </c>
      <c r="B14" s="5">
        <v>2</v>
      </c>
      <c r="C14" s="5">
        <f t="shared" si="3"/>
        <v>352</v>
      </c>
      <c r="D14" s="5">
        <v>0</v>
      </c>
      <c r="E14" s="5">
        <v>0</v>
      </c>
      <c r="F14" s="5">
        <f t="shared" si="0"/>
        <v>0</v>
      </c>
      <c r="G14" s="37">
        <f t="shared" si="4"/>
        <v>0</v>
      </c>
      <c r="H14" s="49">
        <f>+SUM($D$6:D15)*1000000/SUM($C$6:C15)</f>
        <v>32.925062557618858</v>
      </c>
      <c r="I14" s="49">
        <f t="shared" si="1"/>
        <v>3.2925062557618859E-2</v>
      </c>
      <c r="J14" s="46">
        <f>+AVERAGE($D$6:D15)</f>
        <v>0.1</v>
      </c>
      <c r="K14" s="43">
        <f t="shared" si="2"/>
        <v>300</v>
      </c>
    </row>
    <row r="15" spans="1:18">
      <c r="A15" s="4">
        <v>45566</v>
      </c>
      <c r="B15" s="5">
        <v>3</v>
      </c>
      <c r="C15" s="5">
        <f t="shared" si="3"/>
        <v>528</v>
      </c>
      <c r="D15" s="5">
        <v>0</v>
      </c>
      <c r="E15" s="5">
        <v>0</v>
      </c>
      <c r="F15" s="5">
        <f t="shared" si="0"/>
        <v>0</v>
      </c>
      <c r="G15" s="37">
        <f t="shared" si="4"/>
        <v>0</v>
      </c>
      <c r="H15" s="49">
        <f>+SUM($D$6:D16)*1000000/SUM($C$6:C16)</f>
        <v>32.362459546925564</v>
      </c>
      <c r="I15" s="49">
        <f t="shared" si="1"/>
        <v>3.2362459546925564E-2</v>
      </c>
      <c r="J15" s="46">
        <f>+AVERAGE($D$6:D16)</f>
        <v>9.0909090909090912E-2</v>
      </c>
      <c r="K15" s="43">
        <f t="shared" si="2"/>
        <v>330</v>
      </c>
    </row>
    <row r="16" spans="1:18">
      <c r="A16" s="4">
        <v>45597</v>
      </c>
      <c r="B16" s="5">
        <v>3</v>
      </c>
      <c r="C16" s="5">
        <f t="shared" si="3"/>
        <v>528</v>
      </c>
      <c r="D16" s="5">
        <v>0</v>
      </c>
      <c r="E16" s="5">
        <v>0</v>
      </c>
      <c r="F16" s="5">
        <f t="shared" si="0"/>
        <v>0</v>
      </c>
      <c r="G16" s="37">
        <f t="shared" si="4"/>
        <v>0</v>
      </c>
      <c r="H16" s="49">
        <f>+SUM($D$6:D17)*1000000/SUM($C$6:C17)</f>
        <v>31.818760341097111</v>
      </c>
      <c r="I16" s="49">
        <f t="shared" si="1"/>
        <v>3.181876034109711E-2</v>
      </c>
      <c r="J16" s="46">
        <f>+AVERAGE($D$6:D17)</f>
        <v>8.3333333333333329E-2</v>
      </c>
      <c r="K16" s="43">
        <f t="shared" si="2"/>
        <v>360</v>
      </c>
    </row>
    <row r="17" spans="1:12">
      <c r="A17" s="4">
        <v>45627</v>
      </c>
      <c r="B17" s="5">
        <v>3</v>
      </c>
      <c r="C17" s="5">
        <f t="shared" si="3"/>
        <v>528</v>
      </c>
      <c r="D17" s="5">
        <v>0</v>
      </c>
      <c r="E17" s="5">
        <v>0</v>
      </c>
      <c r="F17" s="5">
        <f t="shared" si="0"/>
        <v>0</v>
      </c>
      <c r="G17" s="37">
        <f t="shared" si="4"/>
        <v>0</v>
      </c>
      <c r="H17" s="49">
        <f>+SUM($D$6:D18)*1000000/SUM($C$6:C18)</f>
        <v>31.818760341097111</v>
      </c>
      <c r="I17" s="49">
        <f t="shared" si="1"/>
        <v>3.181876034109711E-2</v>
      </c>
      <c r="J17" s="46">
        <f>+AVERAGE($D$6:D18)</f>
        <v>8.3333333333333329E-2</v>
      </c>
      <c r="K17" s="43">
        <f t="shared" si="2"/>
        <v>360</v>
      </c>
    </row>
    <row r="18" spans="1:12">
      <c r="A18" s="4"/>
      <c r="B18" s="5"/>
      <c r="C18" s="5"/>
      <c r="D18" s="5"/>
      <c r="E18" s="5"/>
      <c r="F18" s="5"/>
    </row>
    <row r="19" spans="1:12">
      <c r="A19" s="3" t="s">
        <v>326</v>
      </c>
      <c r="B19" s="5">
        <f>SUM(B6:B17)/12</f>
        <v>2.25</v>
      </c>
      <c r="C19" s="5">
        <f>SUM(C6:C17)</f>
        <v>31428</v>
      </c>
      <c r="D19" s="5">
        <f>SUM(D6:D17)</f>
        <v>1</v>
      </c>
      <c r="E19" s="10">
        <f>SUM(E6:E17)</f>
        <v>0</v>
      </c>
      <c r="F19" s="5">
        <f>D19*1000/B19</f>
        <v>444.44444444444446</v>
      </c>
    </row>
    <row r="20" spans="1:12">
      <c r="A20" s="2"/>
    </row>
    <row r="21" spans="1:12">
      <c r="A21" s="2"/>
    </row>
    <row r="22" spans="1:12" ht="18" customHeight="1">
      <c r="A22" s="16" t="s">
        <v>327</v>
      </c>
      <c r="B22" s="6"/>
      <c r="C22" s="7" t="s">
        <v>328</v>
      </c>
      <c r="D22" s="18" t="s">
        <v>329</v>
      </c>
      <c r="E22" s="20">
        <f>D19*1000/B19</f>
        <v>444.44444444444446</v>
      </c>
      <c r="F22" s="215" t="s">
        <v>330</v>
      </c>
      <c r="H22" s="74"/>
      <c r="I22" s="74"/>
      <c r="J22" s="74"/>
      <c r="K22" s="74"/>
      <c r="L22" s="74"/>
    </row>
    <row r="23" spans="1:12" ht="20.45">
      <c r="A23" s="16"/>
      <c r="B23" s="6"/>
      <c r="C23" s="8" t="s">
        <v>331</v>
      </c>
      <c r="D23" s="18"/>
      <c r="E23" s="21"/>
      <c r="F23" s="215"/>
      <c r="H23" s="74"/>
      <c r="I23" s="74"/>
      <c r="J23" s="74"/>
      <c r="K23" s="74"/>
      <c r="L23" s="74"/>
    </row>
    <row r="24" spans="1:12" ht="20.45">
      <c r="A24" s="17"/>
      <c r="C24" s="2"/>
      <c r="D24" s="19"/>
      <c r="E24" s="22"/>
      <c r="F24" s="24"/>
      <c r="H24" s="74"/>
      <c r="I24" s="74"/>
      <c r="J24" s="74"/>
      <c r="K24" s="74"/>
      <c r="L24" s="74"/>
    </row>
    <row r="25" spans="1:12" ht="20.25" customHeight="1">
      <c r="A25" s="16" t="s">
        <v>332</v>
      </c>
      <c r="B25" s="6"/>
      <c r="C25" s="7" t="s">
        <v>333</v>
      </c>
      <c r="D25" s="18" t="s">
        <v>329</v>
      </c>
      <c r="E25" s="20">
        <f>D19*1000000/C19</f>
        <v>31.818760341097111</v>
      </c>
      <c r="F25" s="215" t="s">
        <v>334</v>
      </c>
      <c r="H25" s="74"/>
      <c r="I25" s="74"/>
      <c r="J25" s="74"/>
      <c r="K25" s="74"/>
      <c r="L25" s="74"/>
    </row>
    <row r="26" spans="1:12" ht="20.45">
      <c r="A26" s="16"/>
      <c r="B26" s="6"/>
      <c r="C26" s="8" t="s">
        <v>335</v>
      </c>
      <c r="D26" s="18"/>
      <c r="E26" s="21"/>
      <c r="F26" s="215"/>
      <c r="H26" s="74"/>
      <c r="I26" s="74"/>
      <c r="J26" s="74"/>
      <c r="K26" s="74"/>
      <c r="L26" s="74"/>
    </row>
    <row r="27" spans="1:12" ht="20.45">
      <c r="A27" s="17"/>
      <c r="D27" s="19"/>
      <c r="E27" s="22"/>
      <c r="F27" s="24"/>
      <c r="H27" s="74"/>
      <c r="I27" s="74"/>
      <c r="J27" s="74"/>
      <c r="K27" s="74"/>
      <c r="L27" s="74"/>
    </row>
    <row r="28" spans="1:12" ht="20.25" customHeight="1">
      <c r="A28" s="16" t="s">
        <v>336</v>
      </c>
      <c r="B28" s="6"/>
      <c r="C28" s="7" t="s">
        <v>319</v>
      </c>
      <c r="D28" s="18" t="s">
        <v>329</v>
      </c>
      <c r="E28" s="23">
        <f>E19/B19</f>
        <v>0</v>
      </c>
      <c r="F28" s="215" t="s">
        <v>337</v>
      </c>
      <c r="H28" s="74"/>
      <c r="I28" s="74"/>
      <c r="J28" s="74"/>
      <c r="K28" s="74"/>
      <c r="L28" s="74"/>
    </row>
    <row r="29" spans="1:12" ht="20.45">
      <c r="A29" s="16" t="s">
        <v>338</v>
      </c>
      <c r="B29" s="6"/>
      <c r="C29" s="8" t="s">
        <v>331</v>
      </c>
      <c r="D29" s="18"/>
      <c r="E29" s="21"/>
      <c r="F29" s="215"/>
      <c r="H29" s="74"/>
      <c r="I29" s="74"/>
      <c r="J29" s="74"/>
      <c r="K29" s="74"/>
      <c r="L29" s="74"/>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39997558519241921"/>
    <pageSetUpPr fitToPage="1"/>
  </sheetPr>
  <dimension ref="A1:R59"/>
  <sheetViews>
    <sheetView workbookViewId="0">
      <selection activeCell="H23" sqref="H23"/>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4.140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2023</v>
      </c>
      <c r="P1" s="1"/>
      <c r="Q1" s="9"/>
      <c r="R1" s="12"/>
    </row>
    <row r="2" spans="1:18" ht="22.15">
      <c r="A2" s="14" t="s">
        <v>355</v>
      </c>
      <c r="B2" t="s">
        <v>356</v>
      </c>
      <c r="C2" s="9"/>
      <c r="F2" s="11"/>
      <c r="P2" s="1"/>
      <c r="Q2" s="9"/>
      <c r="R2" s="12"/>
    </row>
    <row r="3" spans="1:18" ht="21" customHeight="1">
      <c r="C3" s="9" t="s">
        <v>314</v>
      </c>
      <c r="H3" s="47" t="s">
        <v>315</v>
      </c>
      <c r="I3" s="47"/>
      <c r="K3" s="47" t="s">
        <v>315</v>
      </c>
    </row>
    <row r="4" spans="1:18" ht="79.15000000000000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44927</v>
      </c>
      <c r="B6" s="5">
        <v>0</v>
      </c>
      <c r="C6" s="5">
        <v>0</v>
      </c>
      <c r="D6" s="5">
        <v>0</v>
      </c>
      <c r="E6" s="5">
        <v>0</v>
      </c>
      <c r="F6" s="5" t="e">
        <f t="shared" ref="F6:F17" si="0">D6*1000/B6*12</f>
        <v>#DIV/0!</v>
      </c>
      <c r="G6" s="37" t="e">
        <f>D6*1000000/C6</f>
        <v>#DIV/0!</v>
      </c>
      <c r="H6" s="49" t="e">
        <f>+D7*1000000/C7</f>
        <v>#DIV/0!</v>
      </c>
      <c r="I6" s="49" t="e">
        <f>+H6/1000</f>
        <v>#DIV/0!</v>
      </c>
      <c r="J6" s="46">
        <f>+AVERAGE($D$6:D7)</f>
        <v>0</v>
      </c>
      <c r="K6" s="43" t="str">
        <f>+IF(J6=0,"Sin eventos registrados",30/J6)</f>
        <v>Sin eventos registrados</v>
      </c>
    </row>
    <row r="7" spans="1:18">
      <c r="A7" s="4">
        <v>44958</v>
      </c>
      <c r="B7" s="5">
        <v>0</v>
      </c>
      <c r="C7" s="5">
        <v>0</v>
      </c>
      <c r="D7" s="5">
        <v>0</v>
      </c>
      <c r="E7" s="5">
        <v>0</v>
      </c>
      <c r="F7" s="5" t="e">
        <f t="shared" si="0"/>
        <v>#DIV/0!</v>
      </c>
      <c r="G7" s="37" t="e">
        <f>D7*1000000/C7</f>
        <v>#DIV/0!</v>
      </c>
      <c r="H7" s="49" t="e">
        <f>+SUM($D$6:D8)*1000000/SUM($C$6:C8)</f>
        <v>#DIV/0!</v>
      </c>
      <c r="I7" s="49" t="e">
        <f t="shared" ref="I7:I17" si="1">+H7/1000</f>
        <v>#DIV/0!</v>
      </c>
      <c r="J7" s="46">
        <f>+AVERAGE($D$6:D8)</f>
        <v>0</v>
      </c>
      <c r="K7" s="43" t="str">
        <f t="shared" ref="K7:K17" si="2">+IF(J7=0,"Sin eventos registrados",30/J7)</f>
        <v>Sin eventos registrados</v>
      </c>
    </row>
    <row r="8" spans="1:18">
      <c r="A8" s="4">
        <v>44986</v>
      </c>
      <c r="B8" s="5">
        <v>0</v>
      </c>
      <c r="C8" s="5">
        <v>0</v>
      </c>
      <c r="D8" s="5">
        <v>0</v>
      </c>
      <c r="E8" s="5">
        <v>0</v>
      </c>
      <c r="F8" s="5" t="e">
        <f t="shared" si="0"/>
        <v>#DIV/0!</v>
      </c>
      <c r="G8" s="37" t="e">
        <f>D8*1000000/C8</f>
        <v>#DIV/0!</v>
      </c>
      <c r="H8" s="49" t="e">
        <f>+SUM($D$6:D9)*1000000/SUM($C$6:C9)</f>
        <v>#DIV/0!</v>
      </c>
      <c r="I8" s="49" t="e">
        <f t="shared" si="1"/>
        <v>#DIV/0!</v>
      </c>
      <c r="J8" s="46">
        <f>+AVERAGE($D$6:D9)</f>
        <v>0</v>
      </c>
      <c r="K8" s="43" t="str">
        <f t="shared" si="2"/>
        <v>Sin eventos registrados</v>
      </c>
    </row>
    <row r="9" spans="1:18">
      <c r="A9" s="4">
        <v>45017</v>
      </c>
      <c r="B9" s="5">
        <v>0</v>
      </c>
      <c r="C9" s="5">
        <v>0</v>
      </c>
      <c r="D9" s="5">
        <v>0</v>
      </c>
      <c r="E9" s="5">
        <v>0</v>
      </c>
      <c r="F9" s="5" t="e">
        <f t="shared" si="0"/>
        <v>#DIV/0!</v>
      </c>
      <c r="G9" s="37" t="e">
        <f>D9*1000000/C9</f>
        <v>#DIV/0!</v>
      </c>
      <c r="H9" s="49" t="e">
        <f>+SUM($D$6:D10)*1000000/SUM($C$6:C10)</f>
        <v>#DIV/0!</v>
      </c>
      <c r="I9" s="49" t="e">
        <f>+H9/1000</f>
        <v>#DIV/0!</v>
      </c>
      <c r="J9" s="46">
        <f>+AVERAGE($D$6:D10)</f>
        <v>0.2</v>
      </c>
      <c r="K9" s="43">
        <f>+IF(J9=0,"Sin eventos registrados",30/J9)</f>
        <v>150</v>
      </c>
    </row>
    <row r="10" spans="1:18">
      <c r="A10" s="4">
        <v>45047</v>
      </c>
      <c r="B10" s="5">
        <v>0</v>
      </c>
      <c r="C10" s="5">
        <v>0</v>
      </c>
      <c r="D10" s="5">
        <v>1</v>
      </c>
      <c r="E10" s="5">
        <v>0</v>
      </c>
      <c r="F10" s="5" t="e">
        <f t="shared" si="0"/>
        <v>#DIV/0!</v>
      </c>
      <c r="G10" s="37" t="e">
        <f t="shared" ref="G10:G17" si="3">D10*1000000/C10</f>
        <v>#DIV/0!</v>
      </c>
      <c r="H10" s="49" t="e">
        <f>+SUM($D$6:D11)*1000000/SUM($C$6:C11)</f>
        <v>#DIV/0!</v>
      </c>
      <c r="I10" s="49" t="e">
        <f t="shared" si="1"/>
        <v>#DIV/0!</v>
      </c>
      <c r="J10" s="46">
        <f>+AVERAGE($D$6:D11)</f>
        <v>0.16666666666666666</v>
      </c>
      <c r="K10" s="43">
        <f>+IF(J10=0,"Sin eventos registrados",30/J10)</f>
        <v>180</v>
      </c>
    </row>
    <row r="11" spans="1:18">
      <c r="A11" s="4">
        <v>45078</v>
      </c>
      <c r="B11" s="5">
        <v>0</v>
      </c>
      <c r="C11" s="5">
        <v>0</v>
      </c>
      <c r="D11" s="5">
        <v>0</v>
      </c>
      <c r="E11" s="5">
        <v>0</v>
      </c>
      <c r="F11" s="5" t="e">
        <f t="shared" si="0"/>
        <v>#DIV/0!</v>
      </c>
      <c r="G11" s="37" t="e">
        <f>D11*1000000/C11</f>
        <v>#DIV/0!</v>
      </c>
      <c r="H11" s="49" t="e">
        <f>+SUM($D$6:D12)*1000000/SUM($C$6:C12)</f>
        <v>#DIV/0!</v>
      </c>
      <c r="I11" s="49" t="e">
        <f t="shared" si="1"/>
        <v>#DIV/0!</v>
      </c>
      <c r="J11" s="46">
        <f>+AVERAGE($D$6:D12)</f>
        <v>0.14285714285714285</v>
      </c>
      <c r="K11" s="43">
        <f t="shared" si="2"/>
        <v>210</v>
      </c>
    </row>
    <row r="12" spans="1:18">
      <c r="A12" s="4">
        <v>45108</v>
      </c>
      <c r="B12" s="5">
        <v>0</v>
      </c>
      <c r="C12" s="5">
        <v>0</v>
      </c>
      <c r="D12" s="5">
        <v>0</v>
      </c>
      <c r="E12" s="5">
        <v>0</v>
      </c>
      <c r="F12" s="5" t="e">
        <f>D12*1000/B12</f>
        <v>#DIV/0!</v>
      </c>
      <c r="G12" s="37" t="e">
        <f>D12*1000000/C12</f>
        <v>#DIV/0!</v>
      </c>
      <c r="H12" s="49" t="e">
        <f>+SUM($D$6:D13)*1000000/SUM($C$6:C13)</f>
        <v>#DIV/0!</v>
      </c>
      <c r="I12" s="49" t="e">
        <f t="shared" si="1"/>
        <v>#DIV/0!</v>
      </c>
      <c r="J12" s="46">
        <f>+AVERAGE($D$6:D13)</f>
        <v>0.125</v>
      </c>
      <c r="K12" s="43">
        <f t="shared" si="2"/>
        <v>240</v>
      </c>
    </row>
    <row r="13" spans="1:18">
      <c r="A13" s="4">
        <v>45139</v>
      </c>
      <c r="B13" s="5">
        <v>0</v>
      </c>
      <c r="C13" s="5">
        <v>0</v>
      </c>
      <c r="D13" s="5">
        <v>0</v>
      </c>
      <c r="E13" s="5">
        <v>0</v>
      </c>
      <c r="F13" s="5" t="e">
        <f>D13*1000/B13*12</f>
        <v>#DIV/0!</v>
      </c>
      <c r="G13" s="37" t="e">
        <f t="shared" si="3"/>
        <v>#DIV/0!</v>
      </c>
      <c r="H13" s="49">
        <f>+SUM($D$6:D14)*1000000/SUM($C$6:C14)</f>
        <v>1666.6666666666667</v>
      </c>
      <c r="I13" s="49">
        <f>+H13/1000</f>
        <v>1.6666666666666667</v>
      </c>
      <c r="J13" s="46">
        <f>+AVERAGE($D$6:D14)</f>
        <v>0.1111111111111111</v>
      </c>
      <c r="K13" s="43">
        <f t="shared" si="2"/>
        <v>270</v>
      </c>
    </row>
    <row r="14" spans="1:18">
      <c r="A14" s="4">
        <v>45170</v>
      </c>
      <c r="B14" s="5">
        <v>3</v>
      </c>
      <c r="C14" s="5">
        <v>600</v>
      </c>
      <c r="D14" s="5">
        <v>0</v>
      </c>
      <c r="E14" s="5">
        <v>0</v>
      </c>
      <c r="F14" s="5">
        <f t="shared" si="0"/>
        <v>0</v>
      </c>
      <c r="G14" s="37">
        <f t="shared" si="3"/>
        <v>0</v>
      </c>
      <c r="H14" s="49">
        <f>+SUM($D$6:D15)*1000000/SUM($C$6:C15)</f>
        <v>833.33333333333337</v>
      </c>
      <c r="I14" s="49">
        <f t="shared" si="1"/>
        <v>0.83333333333333337</v>
      </c>
      <c r="J14" s="46">
        <f>+AVERAGE($D$6:D15)</f>
        <v>0.1</v>
      </c>
      <c r="K14" s="43">
        <f t="shared" si="2"/>
        <v>300</v>
      </c>
    </row>
    <row r="15" spans="1:18">
      <c r="A15" s="4">
        <v>45200</v>
      </c>
      <c r="B15" s="5">
        <v>3</v>
      </c>
      <c r="C15" s="5">
        <f>B15*25*8</f>
        <v>600</v>
      </c>
      <c r="D15" s="5">
        <v>0</v>
      </c>
      <c r="E15" s="5">
        <v>0</v>
      </c>
      <c r="F15" s="5">
        <f t="shared" si="0"/>
        <v>0</v>
      </c>
      <c r="G15" s="37">
        <f t="shared" si="3"/>
        <v>0</v>
      </c>
      <c r="H15" s="49">
        <f>+SUM($D$6:D16)*1000000/SUM($C$6:C16)</f>
        <v>833.33333333333337</v>
      </c>
      <c r="I15" s="49">
        <f t="shared" si="1"/>
        <v>0.83333333333333337</v>
      </c>
      <c r="J15" s="46">
        <f>+AVERAGE($D$6:D16)</f>
        <v>9.0909090909090912E-2</v>
      </c>
      <c r="K15" s="43">
        <f t="shared" si="2"/>
        <v>330</v>
      </c>
    </row>
    <row r="16" spans="1:18">
      <c r="A16" s="4">
        <v>45231</v>
      </c>
      <c r="B16" s="5">
        <v>3</v>
      </c>
      <c r="C16" s="5">
        <v>0</v>
      </c>
      <c r="D16" s="5">
        <v>0</v>
      </c>
      <c r="E16" s="5">
        <v>0</v>
      </c>
      <c r="F16" s="5">
        <f t="shared" si="0"/>
        <v>0</v>
      </c>
      <c r="G16" s="37" t="e">
        <f t="shared" si="3"/>
        <v>#DIV/0!</v>
      </c>
      <c r="H16" s="49">
        <f>+SUM($D$6:D17)*1000000/SUM($C$6:C17)</f>
        <v>833.33333333333337</v>
      </c>
      <c r="I16" s="49">
        <f t="shared" si="1"/>
        <v>0.83333333333333337</v>
      </c>
      <c r="J16" s="46">
        <f>+AVERAGE($D$6:D17)</f>
        <v>8.3333333333333329E-2</v>
      </c>
      <c r="K16" s="43">
        <f t="shared" si="2"/>
        <v>360</v>
      </c>
    </row>
    <row r="17" spans="1:12">
      <c r="A17" s="4">
        <v>45261</v>
      </c>
      <c r="B17" s="5">
        <v>3</v>
      </c>
      <c r="C17" s="5">
        <v>0</v>
      </c>
      <c r="D17" s="5">
        <v>0</v>
      </c>
      <c r="E17" s="5">
        <v>0</v>
      </c>
      <c r="F17" s="5">
        <f t="shared" si="0"/>
        <v>0</v>
      </c>
      <c r="G17" s="37" t="e">
        <f t="shared" si="3"/>
        <v>#DIV/0!</v>
      </c>
      <c r="H17" s="49">
        <f>+SUM($D$6:D18)*1000000/SUM($C$6:C18)</f>
        <v>833.33333333333337</v>
      </c>
      <c r="I17" s="49">
        <f t="shared" si="1"/>
        <v>0.83333333333333337</v>
      </c>
      <c r="J17" s="46">
        <f>+AVERAGE($D$6:D18)</f>
        <v>8.3333333333333329E-2</v>
      </c>
      <c r="K17" s="43">
        <f t="shared" si="2"/>
        <v>360</v>
      </c>
    </row>
    <row r="18" spans="1:12">
      <c r="A18" s="4"/>
      <c r="B18" s="5"/>
      <c r="C18" s="5"/>
      <c r="D18" s="5"/>
      <c r="E18" s="5"/>
      <c r="F18" s="5"/>
    </row>
    <row r="19" spans="1:12">
      <c r="A19" s="3" t="s">
        <v>326</v>
      </c>
      <c r="B19" s="5">
        <f>SUM(B6:B17)/12</f>
        <v>1</v>
      </c>
      <c r="C19" s="5">
        <f>SUM(C6:C17)</f>
        <v>1200</v>
      </c>
      <c r="D19" s="5">
        <f>SUM(D6:D17)</f>
        <v>1</v>
      </c>
      <c r="E19" s="10">
        <f>SUM(E6:E17)</f>
        <v>0</v>
      </c>
      <c r="F19" s="5">
        <f>D19*1000/B19</f>
        <v>1000</v>
      </c>
    </row>
    <row r="20" spans="1:12">
      <c r="A20" s="2"/>
    </row>
    <row r="21" spans="1:12">
      <c r="A21" s="2"/>
    </row>
    <row r="22" spans="1:12" ht="18" customHeight="1">
      <c r="A22" s="16" t="s">
        <v>327</v>
      </c>
      <c r="B22" s="6"/>
      <c r="C22" s="7" t="s">
        <v>328</v>
      </c>
      <c r="D22" s="18" t="s">
        <v>329</v>
      </c>
      <c r="E22" s="20">
        <f>D19*1000/B19</f>
        <v>1000</v>
      </c>
      <c r="F22" s="215" t="s">
        <v>330</v>
      </c>
      <c r="H22" s="74" t="s">
        <v>8</v>
      </c>
      <c r="I22" s="74" t="s">
        <v>9</v>
      </c>
      <c r="J22" s="75" t="s">
        <v>10</v>
      </c>
      <c r="K22" s="75" t="s">
        <v>11</v>
      </c>
      <c r="L22" s="75" t="s">
        <v>12</v>
      </c>
    </row>
    <row r="23" spans="1:12" ht="20.45">
      <c r="A23" s="16"/>
      <c r="B23" s="6"/>
      <c r="C23" s="8" t="s">
        <v>331</v>
      </c>
      <c r="D23" s="18"/>
      <c r="E23" s="21"/>
      <c r="F23" s="215"/>
      <c r="H23" s="75" t="e">
        <f>SUM($D$6:$D$13)*1000/AVERAGE($B$6:$B$13)</f>
        <v>#DIV/0!</v>
      </c>
      <c r="I23" s="75">
        <f>SUM($D$6:$D$14)*1000/AVERAGE($B$6:$B$14)</f>
        <v>3000</v>
      </c>
      <c r="J23" s="75">
        <f>SUM($D$6:$D$15)*1000/AVERAGE($B$6:$B$15)</f>
        <v>1666.6666666666667</v>
      </c>
      <c r="K23" s="75">
        <f>SUM($D$6:$D$16)*1000/AVERAGE($B$6:$B$16)</f>
        <v>1222.2222222222222</v>
      </c>
      <c r="L23" s="75">
        <f>SUM($D$6:$D$17)*1000/AVERAGE($B$6:$B$17)</f>
        <v>1000</v>
      </c>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833.33333333333337</v>
      </c>
      <c r="F25" s="215" t="s">
        <v>334</v>
      </c>
      <c r="H25" s="74" t="s">
        <v>8</v>
      </c>
      <c r="I25" s="74" t="s">
        <v>9</v>
      </c>
      <c r="J25" s="75" t="s">
        <v>10</v>
      </c>
      <c r="K25" s="75" t="s">
        <v>11</v>
      </c>
      <c r="L25" s="75" t="s">
        <v>12</v>
      </c>
    </row>
    <row r="26" spans="1:12" ht="20.45">
      <c r="A26" s="16"/>
      <c r="B26" s="6"/>
      <c r="C26" s="8" t="s">
        <v>335</v>
      </c>
      <c r="D26" s="18"/>
      <c r="E26" s="21"/>
      <c r="F26" s="215"/>
      <c r="H26" s="75" t="e">
        <f>SUM($D$6:$D$13)*1000000/SUM($C$6:$C$13)</f>
        <v>#DIV/0!</v>
      </c>
      <c r="I26" s="75">
        <f>SUM($D$6:$D$14)*1000000/SUM($C$6:$C$14)</f>
        <v>1666.6666666666667</v>
      </c>
      <c r="J26" s="75">
        <f>SUM($D$6:$D$15)*1000000/SUM($C$6:$C$15)</f>
        <v>833.33333333333337</v>
      </c>
      <c r="K26" s="75">
        <f>SUM($D$6:$D$16)*1000000/SUM($C$6:$C$16)</f>
        <v>833.33333333333337</v>
      </c>
      <c r="L26" s="75">
        <f>SUM($D$6:$D$17)*1000000/SUM($C$6:$C$17)</f>
        <v>833.33333333333337</v>
      </c>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t="s">
        <v>8</v>
      </c>
      <c r="I28" s="74" t="s">
        <v>9</v>
      </c>
      <c r="J28" s="75" t="s">
        <v>10</v>
      </c>
      <c r="K28" s="75" t="s">
        <v>11</v>
      </c>
      <c r="L28" s="75" t="s">
        <v>12</v>
      </c>
    </row>
    <row r="29" spans="1:12" ht="20.45">
      <c r="A29" s="16" t="s">
        <v>338</v>
      </c>
      <c r="B29" s="6"/>
      <c r="C29" s="8" t="s">
        <v>331</v>
      </c>
      <c r="D29" s="18"/>
      <c r="E29" s="21"/>
      <c r="F29" s="215"/>
      <c r="H29" s="75" t="e">
        <f>SUM($E$6:$E$13)/AVERAGE($B$6:$B$13)</f>
        <v>#DIV/0!</v>
      </c>
      <c r="I29" s="75">
        <f>SUM($E$6:$E$14)/AVERAGE($B$6:$B$14)</f>
        <v>0</v>
      </c>
      <c r="J29" s="75">
        <f>SUM($E$6:$E$15)/AVERAGE($B$6:$B$15)</f>
        <v>0</v>
      </c>
      <c r="K29" s="75">
        <f>SUM($E$6:$E$16)/AVERAGE($B$6:$B$16)</f>
        <v>0</v>
      </c>
      <c r="L29" s="75">
        <f>SUM($E$6:$E$17)/AVERAGE($B$6:$B$17)</f>
        <v>0</v>
      </c>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39997558519241921"/>
    <pageSetUpPr fitToPage="1"/>
  </sheetPr>
  <dimension ref="A1:R59"/>
  <sheetViews>
    <sheetView workbookViewId="0">
      <selection activeCell="D10" sqref="D10"/>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4.140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2023</v>
      </c>
      <c r="P1" s="1"/>
      <c r="Q1" s="9"/>
      <c r="R1" s="12"/>
    </row>
    <row r="2" spans="1:18" ht="22.15">
      <c r="A2" s="14" t="s">
        <v>18</v>
      </c>
      <c r="C2" s="9"/>
      <c r="F2" s="11"/>
      <c r="P2" s="1"/>
      <c r="Q2" s="9"/>
      <c r="R2" s="12"/>
    </row>
    <row r="3" spans="1:18" ht="21" customHeight="1">
      <c r="C3" s="9" t="s">
        <v>314</v>
      </c>
      <c r="H3" s="47" t="s">
        <v>315</v>
      </c>
      <c r="I3" s="47"/>
      <c r="K3" s="47" t="s">
        <v>315</v>
      </c>
    </row>
    <row r="4" spans="1:18" ht="79.15000000000000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44927</v>
      </c>
      <c r="B6" s="5">
        <v>0</v>
      </c>
      <c r="C6" s="5">
        <v>0</v>
      </c>
      <c r="D6" s="5">
        <v>0</v>
      </c>
      <c r="E6" s="5">
        <v>0</v>
      </c>
      <c r="F6" s="5" t="e">
        <f t="shared" ref="F6:F17" si="0">D6*1000/B6*12</f>
        <v>#DIV/0!</v>
      </c>
      <c r="G6" s="37" t="e">
        <f>D6*1000000/C6</f>
        <v>#DIV/0!</v>
      </c>
      <c r="H6" s="49" t="e">
        <f>+D7*1000000/C7</f>
        <v>#DIV/0!</v>
      </c>
      <c r="I6" s="49" t="e">
        <f>+H6/1000</f>
        <v>#DIV/0!</v>
      </c>
      <c r="J6" s="46">
        <f>+AVERAGE($D$6:D7)</f>
        <v>0</v>
      </c>
      <c r="K6" s="43" t="str">
        <f>+IF(J6=0,"Sin eventos registrados",30/J6)</f>
        <v>Sin eventos registrados</v>
      </c>
    </row>
    <row r="7" spans="1:18">
      <c r="A7" s="4">
        <v>44958</v>
      </c>
      <c r="B7" s="5">
        <v>0</v>
      </c>
      <c r="C7" s="5">
        <v>0</v>
      </c>
      <c r="D7" s="5">
        <v>0</v>
      </c>
      <c r="E7" s="5">
        <v>0</v>
      </c>
      <c r="F7" s="5" t="e">
        <f t="shared" si="0"/>
        <v>#DIV/0!</v>
      </c>
      <c r="G7" s="37" t="e">
        <f>D7*1000000/C7</f>
        <v>#DIV/0!</v>
      </c>
      <c r="H7" s="49" t="e">
        <f>+SUM($D$6:D8)*1000000/SUM($C$6:C8)</f>
        <v>#DIV/0!</v>
      </c>
      <c r="I7" s="49" t="e">
        <f t="shared" ref="I7:I17" si="1">+H7/1000</f>
        <v>#DIV/0!</v>
      </c>
      <c r="J7" s="46">
        <f>+AVERAGE($D$6:D8)</f>
        <v>0</v>
      </c>
      <c r="K7" s="43" t="str">
        <f t="shared" ref="K7:K17" si="2">+IF(J7=0,"Sin eventos registrados",30/J7)</f>
        <v>Sin eventos registrados</v>
      </c>
    </row>
    <row r="8" spans="1:18">
      <c r="A8" s="4">
        <v>44986</v>
      </c>
      <c r="B8" s="5">
        <v>0</v>
      </c>
      <c r="C8" s="5">
        <v>0</v>
      </c>
      <c r="D8" s="5">
        <v>0</v>
      </c>
      <c r="E8" s="5">
        <v>0</v>
      </c>
      <c r="F8" s="5" t="e">
        <f t="shared" si="0"/>
        <v>#DIV/0!</v>
      </c>
      <c r="G8" s="37" t="e">
        <f>D8*1000000/C8</f>
        <v>#DIV/0!</v>
      </c>
      <c r="H8" s="49" t="e">
        <f>+SUM($D$6:D9)*1000000/SUM($C$6:C9)</f>
        <v>#DIV/0!</v>
      </c>
      <c r="I8" s="49" t="e">
        <f t="shared" si="1"/>
        <v>#DIV/0!</v>
      </c>
      <c r="J8" s="46">
        <f>+AVERAGE($D$6:D9)</f>
        <v>0</v>
      </c>
      <c r="K8" s="43" t="str">
        <f t="shared" si="2"/>
        <v>Sin eventos registrados</v>
      </c>
    </row>
    <row r="9" spans="1:18">
      <c r="A9" s="4">
        <v>45017</v>
      </c>
      <c r="B9" s="5">
        <v>0</v>
      </c>
      <c r="C9" s="5">
        <v>0</v>
      </c>
      <c r="D9" s="5">
        <v>0</v>
      </c>
      <c r="E9" s="5">
        <v>0</v>
      </c>
      <c r="F9" s="5" t="e">
        <f t="shared" si="0"/>
        <v>#DIV/0!</v>
      </c>
      <c r="G9" s="37" t="e">
        <f>D9*1000000/C9</f>
        <v>#DIV/0!</v>
      </c>
      <c r="H9" s="49" t="e">
        <f>+SUM($D$6:D10)*1000000/SUM($C$6:C10)</f>
        <v>#DIV/0!</v>
      </c>
      <c r="I9" s="49" t="e">
        <f>+H9/1000</f>
        <v>#DIV/0!</v>
      </c>
      <c r="J9" s="46">
        <f>+AVERAGE($D$6:D10)</f>
        <v>0</v>
      </c>
      <c r="K9" s="43" t="str">
        <f>+IF(J9=0,"Sin eventos registrados",30/J9)</f>
        <v>Sin eventos registrados</v>
      </c>
    </row>
    <row r="10" spans="1:18">
      <c r="A10" s="4">
        <v>45047</v>
      </c>
      <c r="B10" s="5">
        <v>0</v>
      </c>
      <c r="C10" s="5">
        <v>0</v>
      </c>
      <c r="D10" s="5">
        <v>0</v>
      </c>
      <c r="E10" s="5">
        <v>0</v>
      </c>
      <c r="F10" s="5" t="e">
        <f t="shared" si="0"/>
        <v>#DIV/0!</v>
      </c>
      <c r="G10" s="37" t="e">
        <f t="shared" ref="G10:G17" si="3">D10*1000000/C10</f>
        <v>#DIV/0!</v>
      </c>
      <c r="H10" s="49" t="e">
        <f>+SUM($D$6:D11)*1000000/SUM($C$6:C11)</f>
        <v>#DIV/0!</v>
      </c>
      <c r="I10" s="49" t="e">
        <f t="shared" si="1"/>
        <v>#DIV/0!</v>
      </c>
      <c r="J10" s="46">
        <f>+AVERAGE($D$6:D11)</f>
        <v>0</v>
      </c>
      <c r="K10" s="43" t="str">
        <f>+IF(J10=0,"Sin eventos registrados",30/J10)</f>
        <v>Sin eventos registrados</v>
      </c>
    </row>
    <row r="11" spans="1:18">
      <c r="A11" s="4">
        <v>45078</v>
      </c>
      <c r="B11" s="5">
        <v>0</v>
      </c>
      <c r="C11" s="5">
        <v>0</v>
      </c>
      <c r="D11" s="5">
        <v>0</v>
      </c>
      <c r="E11" s="5">
        <v>0</v>
      </c>
      <c r="F11" s="5" t="e">
        <f t="shared" si="0"/>
        <v>#DIV/0!</v>
      </c>
      <c r="G11" s="37" t="e">
        <f>D11*1000000/C11</f>
        <v>#DIV/0!</v>
      </c>
      <c r="H11" s="49" t="e">
        <f>+SUM($D$6:D12)*1000000/SUM($C$6:C12)</f>
        <v>#DIV/0!</v>
      </c>
      <c r="I11" s="49" t="e">
        <f t="shared" si="1"/>
        <v>#DIV/0!</v>
      </c>
      <c r="J11" s="46">
        <f>+AVERAGE($D$6:D12)</f>
        <v>0</v>
      </c>
      <c r="K11" s="43" t="str">
        <f t="shared" si="2"/>
        <v>Sin eventos registrados</v>
      </c>
    </row>
    <row r="12" spans="1:18">
      <c r="A12" s="4">
        <v>45108</v>
      </c>
      <c r="B12" s="5">
        <v>0</v>
      </c>
      <c r="C12" s="5">
        <v>0</v>
      </c>
      <c r="D12" s="5">
        <v>0</v>
      </c>
      <c r="E12" s="5">
        <v>0</v>
      </c>
      <c r="F12" s="5" t="e">
        <f>D12*1000/B12</f>
        <v>#DIV/0!</v>
      </c>
      <c r="G12" s="37" t="e">
        <f>D12*1000000/C12</f>
        <v>#DIV/0!</v>
      </c>
      <c r="H12" s="49" t="e">
        <f>+SUM($D$6:D13)*1000000/SUM($C$6:C13)</f>
        <v>#DIV/0!</v>
      </c>
      <c r="I12" s="49" t="e">
        <f t="shared" si="1"/>
        <v>#DIV/0!</v>
      </c>
      <c r="J12" s="46">
        <f>+AVERAGE($D$6:D13)</f>
        <v>0</v>
      </c>
      <c r="K12" s="43" t="str">
        <f t="shared" si="2"/>
        <v>Sin eventos registrados</v>
      </c>
    </row>
    <row r="13" spans="1:18">
      <c r="A13" s="4">
        <v>45139</v>
      </c>
      <c r="B13" s="5">
        <v>0</v>
      </c>
      <c r="C13" s="5">
        <v>0</v>
      </c>
      <c r="D13" s="5">
        <v>0</v>
      </c>
      <c r="E13" s="5">
        <v>0</v>
      </c>
      <c r="F13" s="5" t="e">
        <f>D13*1000/B13*12</f>
        <v>#DIV/0!</v>
      </c>
      <c r="G13" s="37" t="e">
        <f t="shared" si="3"/>
        <v>#DIV/0!</v>
      </c>
      <c r="H13" s="49" t="e">
        <f>+SUM($D$6:D14)*1000000/SUM($C$6:C14)</f>
        <v>#DIV/0!</v>
      </c>
      <c r="I13" s="49" t="e">
        <f>+H13/1000</f>
        <v>#DIV/0!</v>
      </c>
      <c r="J13" s="46">
        <f>+AVERAGE($D$6:D14)</f>
        <v>0</v>
      </c>
      <c r="K13" s="43" t="str">
        <f t="shared" si="2"/>
        <v>Sin eventos registrados</v>
      </c>
    </row>
    <row r="14" spans="1:18">
      <c r="A14" s="4">
        <v>45170</v>
      </c>
      <c r="B14" s="5">
        <v>0</v>
      </c>
      <c r="C14" s="5">
        <v>0</v>
      </c>
      <c r="D14" s="5">
        <v>0</v>
      </c>
      <c r="E14" s="5">
        <v>0</v>
      </c>
      <c r="F14" s="5" t="e">
        <f t="shared" si="0"/>
        <v>#DIV/0!</v>
      </c>
      <c r="G14" s="37" t="e">
        <f t="shared" si="3"/>
        <v>#DIV/0!</v>
      </c>
      <c r="H14" s="49" t="e">
        <f>+SUM($D$6:D15)*1000000/SUM($C$6:C15)</f>
        <v>#DIV/0!</v>
      </c>
      <c r="I14" s="49" t="e">
        <f t="shared" si="1"/>
        <v>#DIV/0!</v>
      </c>
      <c r="J14" s="46">
        <f>+AVERAGE($D$6:D15)</f>
        <v>0.1</v>
      </c>
      <c r="K14" s="43">
        <f t="shared" si="2"/>
        <v>300</v>
      </c>
    </row>
    <row r="15" spans="1:18">
      <c r="A15" s="4">
        <v>45200</v>
      </c>
      <c r="B15" s="5">
        <v>0</v>
      </c>
      <c r="C15" s="5">
        <v>0</v>
      </c>
      <c r="D15" s="5">
        <v>1</v>
      </c>
      <c r="E15" s="5">
        <v>27</v>
      </c>
      <c r="F15" s="5" t="e">
        <f t="shared" si="0"/>
        <v>#DIV/0!</v>
      </c>
      <c r="G15" s="37" t="e">
        <f t="shared" si="3"/>
        <v>#DIV/0!</v>
      </c>
      <c r="H15" s="49" t="e">
        <f>+SUM($D$6:D16)*1000000/SUM($C$6:C16)</f>
        <v>#DIV/0!</v>
      </c>
      <c r="I15" s="49" t="e">
        <f t="shared" si="1"/>
        <v>#DIV/0!</v>
      </c>
      <c r="J15" s="46">
        <f>+AVERAGE($D$6:D16)</f>
        <v>9.0909090909090912E-2</v>
      </c>
      <c r="K15" s="43">
        <f t="shared" si="2"/>
        <v>330</v>
      </c>
    </row>
    <row r="16" spans="1:18">
      <c r="A16" s="4">
        <v>45231</v>
      </c>
      <c r="B16" s="5">
        <v>0</v>
      </c>
      <c r="C16" s="5">
        <v>0</v>
      </c>
      <c r="D16" s="5">
        <v>0</v>
      </c>
      <c r="E16" s="5">
        <v>0</v>
      </c>
      <c r="F16" s="5" t="e">
        <f t="shared" si="0"/>
        <v>#DIV/0!</v>
      </c>
      <c r="G16" s="37" t="e">
        <f t="shared" si="3"/>
        <v>#DIV/0!</v>
      </c>
      <c r="H16" s="49" t="e">
        <f>+SUM($D$6:D17)*1000000/SUM($C$6:C17)</f>
        <v>#DIV/0!</v>
      </c>
      <c r="I16" s="49" t="e">
        <f t="shared" si="1"/>
        <v>#DIV/0!</v>
      </c>
      <c r="J16" s="46">
        <f>+AVERAGE($D$6:D17)</f>
        <v>8.3333333333333329E-2</v>
      </c>
      <c r="K16" s="43">
        <f t="shared" si="2"/>
        <v>360</v>
      </c>
    </row>
    <row r="17" spans="1:11">
      <c r="A17" s="4">
        <v>45261</v>
      </c>
      <c r="B17" s="5">
        <v>0</v>
      </c>
      <c r="C17" s="5">
        <v>0</v>
      </c>
      <c r="D17" s="5">
        <v>0</v>
      </c>
      <c r="E17" s="5">
        <v>0</v>
      </c>
      <c r="F17" s="5" t="e">
        <f t="shared" si="0"/>
        <v>#DIV/0!</v>
      </c>
      <c r="G17" s="37" t="e">
        <f t="shared" si="3"/>
        <v>#DIV/0!</v>
      </c>
      <c r="H17" s="49" t="e">
        <f>+SUM($D$6:D18)*1000000/SUM($C$6:C18)</f>
        <v>#DIV/0!</v>
      </c>
      <c r="I17" s="49" t="e">
        <f t="shared" si="1"/>
        <v>#DIV/0!</v>
      </c>
      <c r="J17" s="46">
        <f>+AVERAGE($D$6:D18)</f>
        <v>8.3333333333333329E-2</v>
      </c>
      <c r="K17" s="43">
        <f t="shared" si="2"/>
        <v>360</v>
      </c>
    </row>
    <row r="18" spans="1:11">
      <c r="A18" s="4"/>
      <c r="B18" s="5"/>
      <c r="C18" s="5"/>
      <c r="D18" s="5"/>
      <c r="E18" s="5"/>
      <c r="F18" s="5"/>
    </row>
    <row r="19" spans="1:11">
      <c r="A19" s="3" t="s">
        <v>326</v>
      </c>
      <c r="B19" s="5">
        <f>SUM(B6:B17)/12</f>
        <v>0</v>
      </c>
      <c r="C19" s="5">
        <f>SUM(C6:C17)</f>
        <v>0</v>
      </c>
      <c r="D19" s="5">
        <f>SUM(D6:D17)</f>
        <v>1</v>
      </c>
      <c r="E19" s="10">
        <f>SUM(E6:E17)</f>
        <v>27</v>
      </c>
      <c r="F19" s="5" t="e">
        <f>D19*1000/B19</f>
        <v>#DIV/0!</v>
      </c>
    </row>
    <row r="20" spans="1:11">
      <c r="A20" s="2"/>
    </row>
    <row r="21" spans="1:11">
      <c r="A21" s="2"/>
    </row>
    <row r="22" spans="1:11" ht="18" customHeight="1">
      <c r="A22" s="16" t="s">
        <v>327</v>
      </c>
      <c r="B22" s="6"/>
      <c r="C22" s="7" t="s">
        <v>328</v>
      </c>
      <c r="D22" s="18" t="s">
        <v>329</v>
      </c>
      <c r="E22" s="20" t="e">
        <f>D19*1000/B19</f>
        <v>#DIV/0!</v>
      </c>
      <c r="F22" s="215" t="s">
        <v>330</v>
      </c>
    </row>
    <row r="23" spans="1:11" ht="20.45">
      <c r="A23" s="16"/>
      <c r="B23" s="6"/>
      <c r="C23" s="8" t="s">
        <v>331</v>
      </c>
      <c r="D23" s="18"/>
      <c r="E23" s="21"/>
      <c r="F23" s="215"/>
    </row>
    <row r="24" spans="1:11" ht="20.45">
      <c r="A24" s="17"/>
      <c r="C24" s="2"/>
      <c r="D24" s="19"/>
      <c r="E24" s="22"/>
      <c r="F24" s="24"/>
    </row>
    <row r="25" spans="1:11" ht="20.25" customHeight="1">
      <c r="A25" s="16" t="s">
        <v>332</v>
      </c>
      <c r="B25" s="6"/>
      <c r="C25" s="7" t="s">
        <v>333</v>
      </c>
      <c r="D25" s="18" t="s">
        <v>329</v>
      </c>
      <c r="E25" s="20" t="e">
        <f>D19*1000000/C19</f>
        <v>#DIV/0!</v>
      </c>
      <c r="F25" s="215" t="s">
        <v>334</v>
      </c>
    </row>
    <row r="26" spans="1:11" ht="20.45">
      <c r="A26" s="16"/>
      <c r="B26" s="6"/>
      <c r="C26" s="8" t="s">
        <v>335</v>
      </c>
      <c r="D26" s="18"/>
      <c r="E26" s="21"/>
      <c r="F26" s="215"/>
    </row>
    <row r="27" spans="1:11" ht="20.45">
      <c r="A27" s="17"/>
      <c r="D27" s="19"/>
      <c r="E27" s="22"/>
      <c r="F27" s="24"/>
    </row>
    <row r="28" spans="1:11" ht="20.25" customHeight="1">
      <c r="A28" s="16" t="s">
        <v>336</v>
      </c>
      <c r="B28" s="6"/>
      <c r="C28" s="7" t="s">
        <v>319</v>
      </c>
      <c r="D28" s="18" t="s">
        <v>329</v>
      </c>
      <c r="E28" s="23" t="e">
        <f>E19/B19</f>
        <v>#DIV/0!</v>
      </c>
      <c r="F28" s="215" t="s">
        <v>337</v>
      </c>
    </row>
    <row r="29" spans="1:11" ht="20.45">
      <c r="A29" s="16" t="s">
        <v>338</v>
      </c>
      <c r="B29" s="6"/>
      <c r="C29" s="8" t="s">
        <v>331</v>
      </c>
      <c r="D29" s="18"/>
      <c r="E29" s="21"/>
      <c r="F29" s="215"/>
    </row>
    <row r="31" spans="1:11" ht="28.5" customHeight="1">
      <c r="A31" s="216" t="s">
        <v>339</v>
      </c>
      <c r="B31" s="217"/>
      <c r="C31" s="217"/>
      <c r="D31" s="217"/>
      <c r="E31" s="217"/>
      <c r="F31" s="217"/>
    </row>
    <row r="32" spans="1:11"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39997558519241921"/>
    <pageSetUpPr fitToPage="1"/>
  </sheetPr>
  <dimension ref="A1:R59"/>
  <sheetViews>
    <sheetView workbookViewId="0">
      <selection activeCell="C14" sqref="C14"/>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14.14062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2023</v>
      </c>
      <c r="P1" s="1"/>
      <c r="Q1" s="9"/>
      <c r="R1" s="12"/>
    </row>
    <row r="2" spans="1:18" ht="22.15">
      <c r="A2" s="14" t="s">
        <v>18</v>
      </c>
      <c r="C2" s="9"/>
      <c r="F2" s="11"/>
      <c r="P2" s="1"/>
      <c r="Q2" s="9"/>
      <c r="R2" s="12"/>
    </row>
    <row r="3" spans="1:18" ht="21" customHeight="1">
      <c r="C3" s="9" t="s">
        <v>314</v>
      </c>
      <c r="H3" s="47" t="s">
        <v>315</v>
      </c>
      <c r="I3" s="47"/>
      <c r="K3" s="47" t="s">
        <v>315</v>
      </c>
    </row>
    <row r="4" spans="1:18" ht="79.150000000000006">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44927</v>
      </c>
      <c r="B6" s="5">
        <v>8</v>
      </c>
      <c r="C6" s="5">
        <f>B6*8*22</f>
        <v>1408</v>
      </c>
      <c r="D6" s="5">
        <v>0</v>
      </c>
      <c r="E6" s="5">
        <v>0</v>
      </c>
      <c r="F6" s="5">
        <f t="shared" ref="F6:F17" si="0">D6*1000/B6*12</f>
        <v>0</v>
      </c>
      <c r="G6" s="37">
        <f>D6*1000000/C6</f>
        <v>0</v>
      </c>
      <c r="H6" s="49">
        <f>+D7*1000000/C7</f>
        <v>0</v>
      </c>
      <c r="I6" s="49">
        <f>+H6/1000</f>
        <v>0</v>
      </c>
      <c r="J6" s="46">
        <f>+AVERAGE($D$6:D7)</f>
        <v>0</v>
      </c>
      <c r="K6" s="43" t="str">
        <f>+IF(J6=0,"Sin eventos registrados",30/J6)</f>
        <v>Sin eventos registrados</v>
      </c>
    </row>
    <row r="7" spans="1:18">
      <c r="A7" s="4">
        <v>44958</v>
      </c>
      <c r="B7" s="5">
        <v>8</v>
      </c>
      <c r="C7" s="5">
        <f t="shared" ref="C7:C17" si="1">B7*8*22</f>
        <v>1408</v>
      </c>
      <c r="D7" s="5">
        <v>0</v>
      </c>
      <c r="E7" s="5">
        <v>0</v>
      </c>
      <c r="F7" s="5">
        <f t="shared" si="0"/>
        <v>0</v>
      </c>
      <c r="G7" s="37">
        <f>D7*1000000/C7</f>
        <v>0</v>
      </c>
      <c r="H7" s="49">
        <f>+SUM($D$6:D8)*1000000/SUM($C$6:C8)</f>
        <v>0</v>
      </c>
      <c r="I7" s="49">
        <f t="shared" ref="I7:I17" si="2">+H7/1000</f>
        <v>0</v>
      </c>
      <c r="J7" s="46">
        <f>+AVERAGE($D$6:D8)</f>
        <v>0</v>
      </c>
      <c r="K7" s="43" t="str">
        <f t="shared" ref="K7:K17" si="3">+IF(J7=0,"Sin eventos registrados",30/J7)</f>
        <v>Sin eventos registrados</v>
      </c>
    </row>
    <row r="8" spans="1:18">
      <c r="A8" s="4">
        <v>44986</v>
      </c>
      <c r="B8" s="5">
        <v>9</v>
      </c>
      <c r="C8" s="5">
        <f t="shared" si="1"/>
        <v>1584</v>
      </c>
      <c r="D8" s="5">
        <v>0</v>
      </c>
      <c r="E8" s="5">
        <v>0</v>
      </c>
      <c r="F8" s="5">
        <f t="shared" si="0"/>
        <v>0</v>
      </c>
      <c r="G8" s="37">
        <f>D8*1000000/C8</f>
        <v>0</v>
      </c>
      <c r="H8" s="49">
        <f>+SUM($D$6:D9)*1000000/SUM($C$6:C9)</f>
        <v>0</v>
      </c>
      <c r="I8" s="49">
        <f t="shared" si="2"/>
        <v>0</v>
      </c>
      <c r="J8" s="46">
        <f>+AVERAGE($D$6:D9)</f>
        <v>0</v>
      </c>
      <c r="K8" s="43" t="str">
        <f t="shared" si="3"/>
        <v>Sin eventos registrados</v>
      </c>
    </row>
    <row r="9" spans="1:18">
      <c r="A9" s="4">
        <v>45017</v>
      </c>
      <c r="B9" s="5">
        <v>8</v>
      </c>
      <c r="C9" s="5">
        <f t="shared" si="1"/>
        <v>1408</v>
      </c>
      <c r="D9" s="5">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45047</v>
      </c>
      <c r="B10" s="5">
        <v>8</v>
      </c>
      <c r="C10" s="5">
        <f t="shared" si="1"/>
        <v>1408</v>
      </c>
      <c r="D10" s="5">
        <v>0</v>
      </c>
      <c r="E10" s="5">
        <v>0</v>
      </c>
      <c r="F10" s="5">
        <f t="shared" si="0"/>
        <v>0</v>
      </c>
      <c r="G10" s="37">
        <f t="shared" ref="G10:G17" si="4">D10*1000000/C10</f>
        <v>0</v>
      </c>
      <c r="H10" s="49">
        <f>+SUM($D$6:D11)*1000000/SUM($C$6:C11)</f>
        <v>0</v>
      </c>
      <c r="I10" s="49">
        <f t="shared" si="2"/>
        <v>0</v>
      </c>
      <c r="J10" s="46">
        <f>+AVERAGE($D$6:D11)</f>
        <v>0</v>
      </c>
      <c r="K10" s="43" t="str">
        <f>+IF(J10=0,"Sin eventos registrados",30/J10)</f>
        <v>Sin eventos registrados</v>
      </c>
    </row>
    <row r="11" spans="1:18">
      <c r="A11" s="4">
        <v>45078</v>
      </c>
      <c r="B11" s="5">
        <v>8</v>
      </c>
      <c r="C11" s="5">
        <f t="shared" si="1"/>
        <v>1408</v>
      </c>
      <c r="D11" s="5">
        <v>0</v>
      </c>
      <c r="E11" s="5">
        <v>0</v>
      </c>
      <c r="F11" s="5">
        <f t="shared" si="0"/>
        <v>0</v>
      </c>
      <c r="G11" s="37">
        <f>D11*1000000/C11</f>
        <v>0</v>
      </c>
      <c r="H11" s="49">
        <f>+SUM($D$6:D12)*1000000/SUM($C$6:C12)</f>
        <v>0</v>
      </c>
      <c r="I11" s="49">
        <f t="shared" si="2"/>
        <v>0</v>
      </c>
      <c r="J11" s="46">
        <f>+AVERAGE($D$6:D12)</f>
        <v>0</v>
      </c>
      <c r="K11" s="43" t="str">
        <f t="shared" si="3"/>
        <v>Sin eventos registrados</v>
      </c>
    </row>
    <row r="12" spans="1:18">
      <c r="A12" s="4">
        <v>45108</v>
      </c>
      <c r="B12" s="5">
        <v>8</v>
      </c>
      <c r="C12" s="5">
        <f t="shared" si="1"/>
        <v>1408</v>
      </c>
      <c r="D12" s="5">
        <v>0</v>
      </c>
      <c r="E12" s="5">
        <v>0</v>
      </c>
      <c r="F12" s="5">
        <f>D12*1000/B12</f>
        <v>0</v>
      </c>
      <c r="G12" s="37">
        <f>D12*1000000/C12</f>
        <v>0</v>
      </c>
      <c r="H12" s="49">
        <f>+SUM($D$6:D13)*1000000/SUM($C$6:C13)</f>
        <v>0</v>
      </c>
      <c r="I12" s="49">
        <f t="shared" si="2"/>
        <v>0</v>
      </c>
      <c r="J12" s="46">
        <f>+AVERAGE($D$6:D13)</f>
        <v>0</v>
      </c>
      <c r="K12" s="43" t="str">
        <f t="shared" si="3"/>
        <v>Sin eventos registrados</v>
      </c>
    </row>
    <row r="13" spans="1:18">
      <c r="A13" s="4">
        <v>45139</v>
      </c>
      <c r="B13" s="5">
        <v>0</v>
      </c>
      <c r="C13" s="5">
        <f t="shared" si="1"/>
        <v>0</v>
      </c>
      <c r="D13" s="5">
        <v>0</v>
      </c>
      <c r="E13" s="5">
        <v>0</v>
      </c>
      <c r="F13" s="5" t="e">
        <f>D13*1000/B13*12</f>
        <v>#DIV/0!</v>
      </c>
      <c r="G13" s="37" t="e">
        <f t="shared" si="4"/>
        <v>#DIV/0!</v>
      </c>
      <c r="H13" s="49">
        <f>+SUM($D$6:D14)*1000000/SUM($C$6:C14)</f>
        <v>0</v>
      </c>
      <c r="I13" s="49">
        <f>+H13/1000</f>
        <v>0</v>
      </c>
      <c r="J13" s="46">
        <f>+AVERAGE($D$6:D14)</f>
        <v>0</v>
      </c>
      <c r="K13" s="43" t="str">
        <f t="shared" si="3"/>
        <v>Sin eventos registrados</v>
      </c>
    </row>
    <row r="14" spans="1:18">
      <c r="A14" s="4">
        <v>45170</v>
      </c>
      <c r="B14" s="5">
        <v>0</v>
      </c>
      <c r="C14" s="5">
        <f t="shared" si="1"/>
        <v>0</v>
      </c>
      <c r="D14" s="5">
        <v>0</v>
      </c>
      <c r="E14" s="5">
        <v>0</v>
      </c>
      <c r="F14" s="5" t="e">
        <f t="shared" si="0"/>
        <v>#DIV/0!</v>
      </c>
      <c r="G14" s="37" t="e">
        <f t="shared" si="4"/>
        <v>#DIV/0!</v>
      </c>
      <c r="H14" s="49">
        <f>+SUM($D$6:D15)*1000000/SUM($C$6:C15)</f>
        <v>99.681020733652318</v>
      </c>
      <c r="I14" s="49">
        <f t="shared" si="2"/>
        <v>9.9681020733652315E-2</v>
      </c>
      <c r="J14" s="46">
        <f>+AVERAGE($D$6:D15)</f>
        <v>0.1</v>
      </c>
      <c r="K14" s="43">
        <f t="shared" si="3"/>
        <v>300</v>
      </c>
    </row>
    <row r="15" spans="1:18">
      <c r="A15" s="4">
        <v>45200</v>
      </c>
      <c r="B15" s="5">
        <v>0</v>
      </c>
      <c r="C15" s="5">
        <f t="shared" si="1"/>
        <v>0</v>
      </c>
      <c r="D15" s="5">
        <v>1</v>
      </c>
      <c r="E15" s="5">
        <v>27</v>
      </c>
      <c r="F15" s="5" t="e">
        <f t="shared" si="0"/>
        <v>#DIV/0!</v>
      </c>
      <c r="G15" s="37" t="e">
        <f t="shared" si="4"/>
        <v>#DIV/0!</v>
      </c>
      <c r="H15" s="49">
        <f>+SUM($D$6:D16)*1000000/SUM($C$6:C16)</f>
        <v>99.681020733652318</v>
      </c>
      <c r="I15" s="49">
        <f t="shared" si="2"/>
        <v>9.9681020733652315E-2</v>
      </c>
      <c r="J15" s="46">
        <f>+AVERAGE($D$6:D16)</f>
        <v>9.0909090909090912E-2</v>
      </c>
      <c r="K15" s="43">
        <f t="shared" si="3"/>
        <v>330</v>
      </c>
    </row>
    <row r="16" spans="1:18">
      <c r="A16" s="4">
        <v>45231</v>
      </c>
      <c r="B16" s="5">
        <v>0</v>
      </c>
      <c r="C16" s="5">
        <f t="shared" si="1"/>
        <v>0</v>
      </c>
      <c r="D16" s="5">
        <v>0</v>
      </c>
      <c r="E16" s="5">
        <v>0</v>
      </c>
      <c r="F16" s="5" t="e">
        <f t="shared" si="0"/>
        <v>#DIV/0!</v>
      </c>
      <c r="G16" s="37" t="e">
        <f t="shared" si="4"/>
        <v>#DIV/0!</v>
      </c>
      <c r="H16" s="49">
        <f>+SUM($D$6:D17)*1000000/SUM($C$6:C17)</f>
        <v>99.681020733652318</v>
      </c>
      <c r="I16" s="49">
        <f t="shared" si="2"/>
        <v>9.9681020733652315E-2</v>
      </c>
      <c r="J16" s="46">
        <f>+AVERAGE($D$6:D17)</f>
        <v>8.3333333333333329E-2</v>
      </c>
      <c r="K16" s="43">
        <f t="shared" si="3"/>
        <v>360</v>
      </c>
    </row>
    <row r="17" spans="1:11">
      <c r="A17" s="4">
        <v>45261</v>
      </c>
      <c r="B17" s="5">
        <v>0</v>
      </c>
      <c r="C17" s="5">
        <f t="shared" si="1"/>
        <v>0</v>
      </c>
      <c r="D17" s="5">
        <v>0</v>
      </c>
      <c r="E17" s="5">
        <v>0</v>
      </c>
      <c r="F17" s="5" t="e">
        <f t="shared" si="0"/>
        <v>#DIV/0!</v>
      </c>
      <c r="G17" s="37" t="e">
        <f t="shared" si="4"/>
        <v>#DIV/0!</v>
      </c>
      <c r="H17" s="49">
        <f>+SUM($D$6:D18)*1000000/SUM($C$6:C18)</f>
        <v>99.681020733652318</v>
      </c>
      <c r="I17" s="49">
        <f t="shared" si="2"/>
        <v>9.9681020733652315E-2</v>
      </c>
      <c r="J17" s="46">
        <f>+AVERAGE($D$6:D18)</f>
        <v>8.3333333333333329E-2</v>
      </c>
      <c r="K17" s="43">
        <f t="shared" si="3"/>
        <v>360</v>
      </c>
    </row>
    <row r="18" spans="1:11">
      <c r="A18" s="4"/>
      <c r="B18" s="5"/>
      <c r="C18" s="5"/>
      <c r="D18" s="5"/>
      <c r="E18" s="5"/>
      <c r="F18" s="5"/>
    </row>
    <row r="19" spans="1:11">
      <c r="A19" s="3" t="s">
        <v>326</v>
      </c>
      <c r="B19" s="5">
        <f>SUM(B6:B17)/12</f>
        <v>4.75</v>
      </c>
      <c r="C19" s="5">
        <f>SUM(C6:C17)</f>
        <v>10032</v>
      </c>
      <c r="D19" s="5">
        <f>SUM(D6:D17)</f>
        <v>1</v>
      </c>
      <c r="E19" s="10">
        <f>SUM(E6:E17)</f>
        <v>27</v>
      </c>
      <c r="F19" s="5">
        <f>D19*1000/B19</f>
        <v>210.52631578947367</v>
      </c>
    </row>
    <row r="20" spans="1:11">
      <c r="A20" s="2"/>
    </row>
    <row r="21" spans="1:11">
      <c r="A21" s="2"/>
    </row>
    <row r="22" spans="1:11" ht="18" customHeight="1">
      <c r="A22" s="16" t="s">
        <v>327</v>
      </c>
      <c r="B22" s="6"/>
      <c r="C22" s="7" t="s">
        <v>328</v>
      </c>
      <c r="D22" s="18" t="s">
        <v>329</v>
      </c>
      <c r="E22" s="20">
        <f>D19*1000/B19</f>
        <v>210.52631578947367</v>
      </c>
      <c r="F22" s="215" t="s">
        <v>330</v>
      </c>
    </row>
    <row r="23" spans="1:11" ht="20.45">
      <c r="A23" s="16"/>
      <c r="B23" s="6"/>
      <c r="C23" s="8" t="s">
        <v>331</v>
      </c>
      <c r="D23" s="18"/>
      <c r="E23" s="21"/>
      <c r="F23" s="215"/>
    </row>
    <row r="24" spans="1:11" ht="20.45">
      <c r="A24" s="17"/>
      <c r="C24" s="2"/>
      <c r="D24" s="19"/>
      <c r="E24" s="22"/>
      <c r="F24" s="24"/>
    </row>
    <row r="25" spans="1:11" ht="20.25" customHeight="1">
      <c r="A25" s="16" t="s">
        <v>332</v>
      </c>
      <c r="B25" s="6"/>
      <c r="C25" s="7" t="s">
        <v>333</v>
      </c>
      <c r="D25" s="18" t="s">
        <v>329</v>
      </c>
      <c r="E25" s="20">
        <f>D19*1000000/C19</f>
        <v>99.681020733652318</v>
      </c>
      <c r="F25" s="215" t="s">
        <v>334</v>
      </c>
    </row>
    <row r="26" spans="1:11" ht="20.45">
      <c r="A26" s="16"/>
      <c r="B26" s="6"/>
      <c r="C26" s="8" t="s">
        <v>335</v>
      </c>
      <c r="D26" s="18"/>
      <c r="E26" s="21"/>
      <c r="F26" s="215"/>
    </row>
    <row r="27" spans="1:11" ht="20.45">
      <c r="A27" s="17"/>
      <c r="D27" s="19"/>
      <c r="E27" s="22"/>
      <c r="F27" s="24"/>
    </row>
    <row r="28" spans="1:11" ht="20.25" customHeight="1">
      <c r="A28" s="16" t="s">
        <v>336</v>
      </c>
      <c r="B28" s="6"/>
      <c r="C28" s="7" t="s">
        <v>319</v>
      </c>
      <c r="D28" s="18" t="s">
        <v>329</v>
      </c>
      <c r="E28" s="23">
        <f>E19/B19</f>
        <v>5.6842105263157894</v>
      </c>
      <c r="F28" s="215" t="s">
        <v>337</v>
      </c>
    </row>
    <row r="29" spans="1:11" ht="20.45">
      <c r="A29" s="16" t="s">
        <v>338</v>
      </c>
      <c r="B29" s="6"/>
      <c r="C29" s="8" t="s">
        <v>331</v>
      </c>
      <c r="D29" s="18"/>
      <c r="E29" s="21"/>
      <c r="F29" s="215"/>
    </row>
    <row r="31" spans="1:11" ht="28.5" customHeight="1">
      <c r="A31" s="216" t="s">
        <v>339</v>
      </c>
      <c r="B31" s="217"/>
      <c r="C31" s="217"/>
      <c r="D31" s="217"/>
      <c r="E31" s="217"/>
      <c r="F31" s="217"/>
    </row>
    <row r="32" spans="1:11"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39997558519241921"/>
    <pageSetUpPr fitToPage="1"/>
  </sheetPr>
  <dimension ref="A1:R59"/>
  <sheetViews>
    <sheetView workbookViewId="0">
      <selection activeCell="H22" sqref="H22:L29"/>
    </sheetView>
  </sheetViews>
  <sheetFormatPr defaultColWidth="11.42578125" defaultRowHeight="13.15"/>
  <cols>
    <col min="1" max="2" width="14.28515625" customWidth="1"/>
    <col min="3" max="3" width="21.42578125" customWidth="1"/>
    <col min="4" max="5" width="14.28515625" customWidth="1"/>
    <col min="6" max="6" width="14.28515625" style="2" customWidth="1"/>
    <col min="7" max="7" width="9.140625"/>
    <col min="8" max="8" width="30.7109375" bestFit="1" customWidth="1"/>
    <col min="9" max="9" width="20.7109375" customWidth="1"/>
    <col min="10" max="10" width="26.85546875" bestFit="1" customWidth="1"/>
    <col min="11" max="11" width="34.7109375" bestFit="1" customWidth="1"/>
    <col min="12" max="15" width="9.140625"/>
    <col min="16" max="16" width="21.7109375" customWidth="1"/>
    <col min="17" max="17" width="24.7109375" customWidth="1"/>
  </cols>
  <sheetData>
    <row r="1" spans="1:18" ht="41.25" customHeight="1">
      <c r="A1" s="13"/>
      <c r="C1" s="25" t="s">
        <v>312</v>
      </c>
      <c r="F1" s="15">
        <v>2023</v>
      </c>
      <c r="P1" s="1"/>
      <c r="Q1" s="9"/>
      <c r="R1" s="12"/>
    </row>
    <row r="2" spans="1:18" ht="22.15">
      <c r="A2" s="14" t="s">
        <v>357</v>
      </c>
      <c r="C2" s="9"/>
      <c r="F2" s="11"/>
      <c r="P2" s="1"/>
      <c r="Q2" s="9"/>
      <c r="R2" s="12"/>
    </row>
    <row r="3" spans="1:18" ht="21" customHeight="1">
      <c r="C3" s="9" t="s">
        <v>314</v>
      </c>
      <c r="H3" s="47" t="s">
        <v>315</v>
      </c>
      <c r="I3" s="47"/>
      <c r="K3" s="47" t="s">
        <v>315</v>
      </c>
    </row>
    <row r="4" spans="1:18" ht="52.9">
      <c r="A4" s="3" t="s">
        <v>316</v>
      </c>
      <c r="B4" s="3" t="s">
        <v>317</v>
      </c>
      <c r="C4" s="3" t="s">
        <v>318</v>
      </c>
      <c r="D4" s="3" t="s">
        <v>41</v>
      </c>
      <c r="E4" s="3" t="s">
        <v>319</v>
      </c>
      <c r="F4" s="3" t="s">
        <v>320</v>
      </c>
      <c r="G4" s="37" t="s">
        <v>321</v>
      </c>
      <c r="H4" s="50" t="s">
        <v>322</v>
      </c>
      <c r="I4" s="48" t="s">
        <v>323</v>
      </c>
      <c r="J4" s="45" t="s">
        <v>324</v>
      </c>
      <c r="K4" s="51" t="s">
        <v>325</v>
      </c>
    </row>
    <row r="5" spans="1:18" ht="6.75" customHeight="1">
      <c r="A5" s="2"/>
      <c r="B5" s="2"/>
      <c r="C5" s="2"/>
      <c r="D5" s="2"/>
      <c r="E5" s="2"/>
      <c r="H5" s="47"/>
      <c r="I5" s="47"/>
      <c r="J5" s="42"/>
      <c r="K5" s="42"/>
    </row>
    <row r="6" spans="1:18">
      <c r="A6" s="4">
        <v>44927</v>
      </c>
      <c r="B6" s="5">
        <v>24</v>
      </c>
      <c r="C6" s="5">
        <f>B6*8*22</f>
        <v>4224</v>
      </c>
      <c r="D6" s="5">
        <v>0</v>
      </c>
      <c r="E6" s="5">
        <v>0</v>
      </c>
      <c r="F6" s="5">
        <f t="shared" ref="F6:F17" si="0">D6*1000/B6*12</f>
        <v>0</v>
      </c>
      <c r="G6" s="37">
        <f>D6*1000000/C6</f>
        <v>0</v>
      </c>
      <c r="H6" s="49">
        <f>+D7*1000000/C7</f>
        <v>0</v>
      </c>
      <c r="I6" s="49">
        <f>+H6/1000</f>
        <v>0</v>
      </c>
      <c r="J6" s="46">
        <f>+AVERAGE($D$6:D7)</f>
        <v>0</v>
      </c>
      <c r="K6" s="43" t="str">
        <f>+IF(J6=0,"Sin eventos registrados",30/J6)</f>
        <v>Sin eventos registrados</v>
      </c>
    </row>
    <row r="7" spans="1:18">
      <c r="A7" s="4">
        <v>44958</v>
      </c>
      <c r="B7" s="5">
        <v>19</v>
      </c>
      <c r="C7" s="5">
        <f t="shared" ref="C7:C17" si="1">B7*8*22</f>
        <v>3344</v>
      </c>
      <c r="D7" s="5">
        <v>0</v>
      </c>
      <c r="E7" s="5">
        <v>0</v>
      </c>
      <c r="F7" s="5">
        <f t="shared" si="0"/>
        <v>0</v>
      </c>
      <c r="G7" s="37">
        <f>D7*1000000/C7</f>
        <v>0</v>
      </c>
      <c r="H7" s="49">
        <f>+SUM($D$6:D8)*1000000/SUM($C$6:C8)</f>
        <v>0</v>
      </c>
      <c r="I7" s="49">
        <f t="shared" ref="I7:I17" si="2">+H7/1000</f>
        <v>0</v>
      </c>
      <c r="J7" s="46">
        <f>+AVERAGE($D$6:D8)</f>
        <v>0</v>
      </c>
      <c r="K7" s="43" t="str">
        <f t="shared" ref="K7:K17" si="3">+IF(J7=0,"Sin eventos registrados",30/J7)</f>
        <v>Sin eventos registrados</v>
      </c>
    </row>
    <row r="8" spans="1:18">
      <c r="A8" s="4">
        <v>44986</v>
      </c>
      <c r="B8" s="5">
        <v>18</v>
      </c>
      <c r="C8" s="5">
        <f t="shared" si="1"/>
        <v>3168</v>
      </c>
      <c r="D8" s="5">
        <v>0</v>
      </c>
      <c r="E8" s="5">
        <v>0</v>
      </c>
      <c r="F8" s="5">
        <f t="shared" si="0"/>
        <v>0</v>
      </c>
      <c r="G8" s="37">
        <f>D8*1000000/C8</f>
        <v>0</v>
      </c>
      <c r="H8" s="49">
        <f>+SUM($D$6:D9)*1000000/SUM($C$6:C9)</f>
        <v>0</v>
      </c>
      <c r="I8" s="49">
        <f t="shared" si="2"/>
        <v>0</v>
      </c>
      <c r="J8" s="46">
        <f>+AVERAGE($D$6:D9)</f>
        <v>0</v>
      </c>
      <c r="K8" s="43" t="str">
        <f t="shared" si="3"/>
        <v>Sin eventos registrados</v>
      </c>
    </row>
    <row r="9" spans="1:18">
      <c r="A9" s="4">
        <v>45017</v>
      </c>
      <c r="B9" s="5">
        <v>16</v>
      </c>
      <c r="C9" s="5">
        <f t="shared" si="1"/>
        <v>2816</v>
      </c>
      <c r="D9" s="5">
        <v>0</v>
      </c>
      <c r="E9" s="5">
        <v>0</v>
      </c>
      <c r="F9" s="5">
        <f t="shared" si="0"/>
        <v>0</v>
      </c>
      <c r="G9" s="37">
        <f>D9*1000000/C9</f>
        <v>0</v>
      </c>
      <c r="H9" s="49">
        <f>+SUM($D$6:D10)*1000000/SUM($C$6:C10)</f>
        <v>0</v>
      </c>
      <c r="I9" s="49">
        <f>+H9/1000</f>
        <v>0</v>
      </c>
      <c r="J9" s="46">
        <f>+AVERAGE($D$6:D10)</f>
        <v>0</v>
      </c>
      <c r="K9" s="43" t="str">
        <f>+IF(J9=0,"Sin eventos registrados",30/J9)</f>
        <v>Sin eventos registrados</v>
      </c>
    </row>
    <row r="10" spans="1:18">
      <c r="A10" s="4">
        <v>45047</v>
      </c>
      <c r="B10" s="5">
        <v>16</v>
      </c>
      <c r="C10" s="5">
        <f t="shared" si="1"/>
        <v>2816</v>
      </c>
      <c r="D10" s="5">
        <v>0</v>
      </c>
      <c r="E10" s="5">
        <v>0</v>
      </c>
      <c r="F10" s="5">
        <f t="shared" si="0"/>
        <v>0</v>
      </c>
      <c r="G10" s="37">
        <f t="shared" ref="G10:G17" si="4">D10*1000000/C10</f>
        <v>0</v>
      </c>
      <c r="H10" s="49">
        <f>+SUM($D$6:D11)*1000000/SUM($C$6:C11)</f>
        <v>0</v>
      </c>
      <c r="I10" s="49">
        <f t="shared" si="2"/>
        <v>0</v>
      </c>
      <c r="J10" s="46">
        <f>+AVERAGE($D$6:D11)</f>
        <v>0</v>
      </c>
      <c r="K10" s="43" t="str">
        <f>+IF(J10=0,"Sin eventos registrados",30/J10)</f>
        <v>Sin eventos registrados</v>
      </c>
    </row>
    <row r="11" spans="1:18">
      <c r="A11" s="4">
        <v>45078</v>
      </c>
      <c r="B11" s="5">
        <v>10</v>
      </c>
      <c r="C11" s="5">
        <f t="shared" si="1"/>
        <v>1760</v>
      </c>
      <c r="D11" s="5">
        <v>0</v>
      </c>
      <c r="E11" s="5">
        <v>0</v>
      </c>
      <c r="F11" s="5">
        <f t="shared" si="0"/>
        <v>0</v>
      </c>
      <c r="G11" s="37">
        <f>D11*1000000/C11</f>
        <v>0</v>
      </c>
      <c r="H11" s="49">
        <f>+SUM($D$6:D12)*1000000/SUM($C$6:C12)</f>
        <v>0</v>
      </c>
      <c r="I11" s="49">
        <f t="shared" si="2"/>
        <v>0</v>
      </c>
      <c r="J11" s="46">
        <f>+AVERAGE($D$6:D12)</f>
        <v>0</v>
      </c>
      <c r="K11" s="43" t="str">
        <f t="shared" si="3"/>
        <v>Sin eventos registrados</v>
      </c>
    </row>
    <row r="12" spans="1:18">
      <c r="A12" s="4">
        <v>45108</v>
      </c>
      <c r="B12" s="5">
        <v>10</v>
      </c>
      <c r="C12" s="5">
        <f t="shared" si="1"/>
        <v>1760</v>
      </c>
      <c r="D12" s="5">
        <v>0</v>
      </c>
      <c r="E12" s="5">
        <v>0</v>
      </c>
      <c r="F12" s="5">
        <f>D12*1000/B12</f>
        <v>0</v>
      </c>
      <c r="G12" s="37">
        <f>D12*1000000/C12</f>
        <v>0</v>
      </c>
      <c r="H12" s="49">
        <f>+SUM($D$6:D13)*1000000/SUM($C$6:C13)</f>
        <v>0</v>
      </c>
      <c r="I12" s="49">
        <f t="shared" si="2"/>
        <v>0</v>
      </c>
      <c r="J12" s="46">
        <f>+AVERAGE($D$6:D13)</f>
        <v>0</v>
      </c>
      <c r="K12" s="43" t="str">
        <f t="shared" si="3"/>
        <v>Sin eventos registrados</v>
      </c>
    </row>
    <row r="13" spans="1:18">
      <c r="A13" s="4">
        <v>45139</v>
      </c>
      <c r="B13" s="5">
        <v>1</v>
      </c>
      <c r="C13" s="5">
        <f t="shared" si="1"/>
        <v>176</v>
      </c>
      <c r="D13" s="5">
        <v>0</v>
      </c>
      <c r="E13" s="5">
        <v>0</v>
      </c>
      <c r="F13" s="5">
        <f>D13*1000/B13*12</f>
        <v>0</v>
      </c>
      <c r="G13" s="37">
        <f t="shared" si="4"/>
        <v>0</v>
      </c>
      <c r="H13" s="49">
        <f>+SUM($D$6:D14)*1000000/SUM($C$6:C14)</f>
        <v>0</v>
      </c>
      <c r="I13" s="49">
        <f>+H13/1000</f>
        <v>0</v>
      </c>
      <c r="J13" s="46">
        <f>+AVERAGE($D$6:D14)</f>
        <v>0</v>
      </c>
      <c r="K13" s="43" t="str">
        <f t="shared" si="3"/>
        <v>Sin eventos registrados</v>
      </c>
    </row>
    <row r="14" spans="1:18">
      <c r="A14" s="4">
        <v>45170</v>
      </c>
      <c r="B14" s="5">
        <v>0</v>
      </c>
      <c r="C14" s="5">
        <f t="shared" si="1"/>
        <v>0</v>
      </c>
      <c r="D14" s="5">
        <v>0</v>
      </c>
      <c r="E14" s="5">
        <v>0</v>
      </c>
      <c r="F14" s="5" t="e">
        <f t="shared" si="0"/>
        <v>#DIV/0!</v>
      </c>
      <c r="G14" s="37" t="e">
        <f t="shared" si="4"/>
        <v>#DIV/0!</v>
      </c>
      <c r="H14" s="49">
        <f>+SUM($D$6:D15)*1000000/SUM($C$6:C15)</f>
        <v>0</v>
      </c>
      <c r="I14" s="49">
        <f t="shared" si="2"/>
        <v>0</v>
      </c>
      <c r="J14" s="46">
        <f>+AVERAGE($D$6:D15)</f>
        <v>0</v>
      </c>
      <c r="K14" s="43" t="str">
        <f t="shared" si="3"/>
        <v>Sin eventos registrados</v>
      </c>
    </row>
    <row r="15" spans="1:18">
      <c r="A15" s="4">
        <v>45200</v>
      </c>
      <c r="B15" s="5">
        <v>0</v>
      </c>
      <c r="C15" s="5">
        <f t="shared" si="1"/>
        <v>0</v>
      </c>
      <c r="D15" s="5">
        <v>0</v>
      </c>
      <c r="E15" s="5">
        <v>0</v>
      </c>
      <c r="F15" s="5" t="e">
        <f t="shared" si="0"/>
        <v>#DIV/0!</v>
      </c>
      <c r="G15" s="37" t="e">
        <f t="shared" si="4"/>
        <v>#DIV/0!</v>
      </c>
      <c r="H15" s="49">
        <f>+SUM($D$6:D16)*1000000/SUM($C$6:C16)</f>
        <v>0</v>
      </c>
      <c r="I15" s="49">
        <f t="shared" si="2"/>
        <v>0</v>
      </c>
      <c r="J15" s="46">
        <f>+AVERAGE($D$6:D16)</f>
        <v>0</v>
      </c>
      <c r="K15" s="43" t="str">
        <f t="shared" si="3"/>
        <v>Sin eventos registrados</v>
      </c>
    </row>
    <row r="16" spans="1:18">
      <c r="A16" s="4">
        <v>45231</v>
      </c>
      <c r="B16" s="5">
        <v>0</v>
      </c>
      <c r="C16" s="5">
        <f t="shared" si="1"/>
        <v>0</v>
      </c>
      <c r="D16" s="5">
        <v>0</v>
      </c>
      <c r="E16" s="5">
        <v>0</v>
      </c>
      <c r="F16" s="5" t="e">
        <f t="shared" si="0"/>
        <v>#DIV/0!</v>
      </c>
      <c r="G16" s="37" t="e">
        <f t="shared" si="4"/>
        <v>#DIV/0!</v>
      </c>
      <c r="H16" s="49">
        <f>+SUM($D$6:D17)*1000000/SUM($C$6:C17)</f>
        <v>0</v>
      </c>
      <c r="I16" s="49">
        <f t="shared" si="2"/>
        <v>0</v>
      </c>
      <c r="J16" s="46">
        <f>+AVERAGE($D$6:D17)</f>
        <v>0</v>
      </c>
      <c r="K16" s="43" t="str">
        <f t="shared" si="3"/>
        <v>Sin eventos registrados</v>
      </c>
    </row>
    <row r="17" spans="1:12">
      <c r="A17" s="4">
        <v>45261</v>
      </c>
      <c r="B17" s="5">
        <v>0</v>
      </c>
      <c r="C17" s="5">
        <f t="shared" si="1"/>
        <v>0</v>
      </c>
      <c r="D17" s="5">
        <v>0</v>
      </c>
      <c r="E17" s="5">
        <v>0</v>
      </c>
      <c r="F17" s="5" t="e">
        <f t="shared" si="0"/>
        <v>#DIV/0!</v>
      </c>
      <c r="G17" s="37" t="e">
        <f t="shared" si="4"/>
        <v>#DIV/0!</v>
      </c>
      <c r="H17" s="49">
        <f>+SUM($D$6:D18)*1000000/SUM($C$6:C18)</f>
        <v>0</v>
      </c>
      <c r="I17" s="49">
        <f t="shared" si="2"/>
        <v>0</v>
      </c>
      <c r="J17" s="46">
        <f>+AVERAGE($D$6:D18)</f>
        <v>0</v>
      </c>
      <c r="K17" s="43" t="str">
        <f t="shared" si="3"/>
        <v>Sin eventos registrados</v>
      </c>
    </row>
    <row r="18" spans="1:12">
      <c r="A18" s="4"/>
      <c r="B18" s="5"/>
      <c r="C18" s="5"/>
      <c r="D18" s="5"/>
      <c r="E18" s="5"/>
      <c r="F18" s="5"/>
    </row>
    <row r="19" spans="1:12">
      <c r="A19" s="3" t="s">
        <v>326</v>
      </c>
      <c r="B19" s="5">
        <f>SUM(B6:B17)/12</f>
        <v>9.5</v>
      </c>
      <c r="C19" s="5">
        <f>SUM(C6:C17)</f>
        <v>20064</v>
      </c>
      <c r="D19" s="5">
        <f>SUM(D6:D17)</f>
        <v>0</v>
      </c>
      <c r="E19" s="10">
        <f>SUM(E6:E17)</f>
        <v>0</v>
      </c>
      <c r="F19" s="5">
        <f>D19*1000/B19</f>
        <v>0</v>
      </c>
    </row>
    <row r="20" spans="1:12">
      <c r="A20" s="2"/>
    </row>
    <row r="21" spans="1:12">
      <c r="A21" s="2"/>
    </row>
    <row r="22" spans="1:12" ht="18" customHeight="1">
      <c r="A22" s="16" t="s">
        <v>327</v>
      </c>
      <c r="B22" s="6"/>
      <c r="C22" s="7" t="s">
        <v>328</v>
      </c>
      <c r="D22" s="18" t="s">
        <v>329</v>
      </c>
      <c r="E22" s="20">
        <f>D19*1000/B19</f>
        <v>0</v>
      </c>
      <c r="F22" s="215" t="s">
        <v>330</v>
      </c>
      <c r="H22" s="74" t="s">
        <v>8</v>
      </c>
      <c r="I22" s="74" t="s">
        <v>9</v>
      </c>
      <c r="J22" s="75" t="s">
        <v>10</v>
      </c>
      <c r="K22" s="75" t="s">
        <v>11</v>
      </c>
      <c r="L22" s="75" t="s">
        <v>12</v>
      </c>
    </row>
    <row r="23" spans="1:12" ht="20.45">
      <c r="A23" s="16"/>
      <c r="B23" s="6"/>
      <c r="C23" s="8" t="s">
        <v>331</v>
      </c>
      <c r="D23" s="18"/>
      <c r="E23" s="21"/>
      <c r="F23" s="215"/>
      <c r="H23" s="75">
        <f>SUM($D$6:$D$13)*1000/AVERAGE($B$6:$B$13)</f>
        <v>0</v>
      </c>
      <c r="I23" s="75">
        <f>SUM($D$6:$D$14)*1000/AVERAGE($B$6:$B$14)</f>
        <v>0</v>
      </c>
      <c r="J23" s="75">
        <f>SUM($D$6:$D$15)*1000/AVERAGE($B$6:$B$15)</f>
        <v>0</v>
      </c>
      <c r="K23" s="75">
        <f>SUM($D$6:$D$16)*1000/AVERAGE($B$6:$B$16)</f>
        <v>0</v>
      </c>
      <c r="L23" s="75">
        <f>SUM($D$6:$D$17)*1000/AVERAGE($B$6:$B$17)</f>
        <v>0</v>
      </c>
    </row>
    <row r="24" spans="1:12" ht="20.45">
      <c r="A24" s="17"/>
      <c r="C24" s="2"/>
      <c r="D24" s="19"/>
      <c r="E24" s="22"/>
      <c r="F24" s="24"/>
      <c r="H24" s="74"/>
      <c r="I24" s="74"/>
      <c r="J24" s="75"/>
      <c r="K24" s="75"/>
      <c r="L24" s="75"/>
    </row>
    <row r="25" spans="1:12" ht="20.25" customHeight="1">
      <c r="A25" s="16" t="s">
        <v>332</v>
      </c>
      <c r="B25" s="6"/>
      <c r="C25" s="7" t="s">
        <v>333</v>
      </c>
      <c r="D25" s="18" t="s">
        <v>329</v>
      </c>
      <c r="E25" s="20">
        <f>D19*1000000/C19</f>
        <v>0</v>
      </c>
      <c r="F25" s="215" t="s">
        <v>334</v>
      </c>
      <c r="H25" s="74" t="s">
        <v>8</v>
      </c>
      <c r="I25" s="74" t="s">
        <v>9</v>
      </c>
      <c r="J25" s="75" t="s">
        <v>10</v>
      </c>
      <c r="K25" s="75" t="s">
        <v>11</v>
      </c>
      <c r="L25" s="75" t="s">
        <v>12</v>
      </c>
    </row>
    <row r="26" spans="1:12" ht="20.45">
      <c r="A26" s="16"/>
      <c r="B26" s="6"/>
      <c r="C26" s="8" t="s">
        <v>335</v>
      </c>
      <c r="D26" s="18"/>
      <c r="E26" s="21"/>
      <c r="F26" s="215"/>
      <c r="H26" s="75">
        <f>SUM($D$6:$D$13)*1000000/SUM($C$6:$C$13)</f>
        <v>0</v>
      </c>
      <c r="I26" s="75">
        <f>SUM($D$6:$D$14)*1000000/SUM($C$6:$C$14)</f>
        <v>0</v>
      </c>
      <c r="J26" s="75">
        <f>SUM($D$6:$D$15)*1000000/SUM($C$6:$C$15)</f>
        <v>0</v>
      </c>
      <c r="K26" s="75">
        <f>SUM($D$6:$D$16)*1000000/SUM($C$6:$C$16)</f>
        <v>0</v>
      </c>
      <c r="L26" s="75">
        <f>SUM($D$6:$D$17)*1000000/SUM($C$6:$C$17)</f>
        <v>0</v>
      </c>
    </row>
    <row r="27" spans="1:12" ht="20.45">
      <c r="A27" s="17"/>
      <c r="D27" s="19"/>
      <c r="E27" s="22"/>
      <c r="F27" s="24"/>
      <c r="H27" s="74"/>
      <c r="I27" s="74"/>
      <c r="J27" s="75"/>
      <c r="K27" s="75"/>
      <c r="L27" s="75"/>
    </row>
    <row r="28" spans="1:12" ht="20.25" customHeight="1">
      <c r="A28" s="16" t="s">
        <v>336</v>
      </c>
      <c r="B28" s="6"/>
      <c r="C28" s="7" t="s">
        <v>319</v>
      </c>
      <c r="D28" s="18" t="s">
        <v>329</v>
      </c>
      <c r="E28" s="23">
        <f>E19/B19</f>
        <v>0</v>
      </c>
      <c r="F28" s="215" t="s">
        <v>337</v>
      </c>
      <c r="H28" s="74" t="s">
        <v>8</v>
      </c>
      <c r="I28" s="74" t="s">
        <v>9</v>
      </c>
      <c r="J28" s="75" t="s">
        <v>10</v>
      </c>
      <c r="K28" s="75" t="s">
        <v>11</v>
      </c>
      <c r="L28" s="75" t="s">
        <v>12</v>
      </c>
    </row>
    <row r="29" spans="1:12" ht="20.45">
      <c r="A29" s="16" t="s">
        <v>338</v>
      </c>
      <c r="B29" s="6"/>
      <c r="C29" s="8" t="s">
        <v>331</v>
      </c>
      <c r="D29" s="18"/>
      <c r="E29" s="21"/>
      <c r="F29" s="215"/>
      <c r="H29" s="75">
        <f>SUM($E$6:$E$13)/AVERAGE($B$6:$B$13)</f>
        <v>0</v>
      </c>
      <c r="I29" s="75">
        <f>SUM($E$6:$E$14)/AVERAGE($B$6:$B$14)</f>
        <v>0</v>
      </c>
      <c r="J29" s="75">
        <f>SUM($E$6:$E$15)/AVERAGE($B$6:$B$15)</f>
        <v>0</v>
      </c>
      <c r="K29" s="75">
        <f>SUM($E$6:$E$16)/AVERAGE($B$6:$B$16)</f>
        <v>0</v>
      </c>
      <c r="L29" s="75">
        <f>SUM($E$6:$E$17)/AVERAGE($B$6:$B$17)</f>
        <v>0</v>
      </c>
    </row>
    <row r="31" spans="1:12" ht="28.5" customHeight="1">
      <c r="A31" s="216" t="s">
        <v>339</v>
      </c>
      <c r="B31" s="217"/>
      <c r="C31" s="217"/>
      <c r="D31" s="217"/>
      <c r="E31" s="217"/>
      <c r="F31" s="217"/>
    </row>
    <row r="32" spans="1:12" ht="53.25" customHeight="1">
      <c r="A32" s="216"/>
      <c r="B32" s="217"/>
      <c r="C32" s="217"/>
      <c r="D32" s="217"/>
      <c r="E32" s="217"/>
      <c r="F32" s="217"/>
    </row>
    <row r="33" spans="1:1">
      <c r="A33" s="9"/>
    </row>
    <row r="58" spans="6:6">
      <c r="F58" s="27" t="s">
        <v>340</v>
      </c>
    </row>
    <row r="59" spans="6:6">
      <c r="F59" s="27"/>
    </row>
  </sheetData>
  <mergeCells count="5">
    <mergeCell ref="F22:F23"/>
    <mergeCell ref="F25:F26"/>
    <mergeCell ref="F28:F29"/>
    <mergeCell ref="A31:F31"/>
    <mergeCell ref="A32:F32"/>
  </mergeCells>
  <printOptions horizontalCentered="1"/>
  <pageMargins left="0.94488188976377963" right="0.55118110236220474" top="0.59055118110236227" bottom="0.59055118110236227" header="0" footer="0"/>
  <pageSetup paperSize="9" scale="85" orientation="portrait" verticalDpi="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2E641D985E02047BE4A10568660F6CD" ma:contentTypeVersion="18" ma:contentTypeDescription="Crear nuevo documento." ma:contentTypeScope="" ma:versionID="42d7c85178e2dcea15d07bb1687c69a3">
  <xsd:schema xmlns:xsd="http://www.w3.org/2001/XMLSchema" xmlns:xs="http://www.w3.org/2001/XMLSchema" xmlns:p="http://schemas.microsoft.com/office/2006/metadata/properties" xmlns:ns2="8d6af3c6-6506-406f-906a-363a197505cb" xmlns:ns3="bb2b36ed-bee3-4b57-9f16-23d26e905edb" targetNamespace="http://schemas.microsoft.com/office/2006/metadata/properties" ma:root="true" ma:fieldsID="f6e4823d1a1bcfba0042ce6f85749729" ns2:_="" ns3:_="">
    <xsd:import namespace="8d6af3c6-6506-406f-906a-363a197505cb"/>
    <xsd:import namespace="bb2b36ed-bee3-4b57-9f16-23d26e905edb"/>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6af3c6-6506-406f-906a-363a197505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7353464e-1a1a-4dd7-9163-d2497400ae6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2b36ed-bee3-4b57-9f16-23d26e905edb" elementFormDefault="qualified">
    <xsd:import namespace="http://schemas.microsoft.com/office/2006/documentManagement/types"/>
    <xsd:import namespace="http://schemas.microsoft.com/office/infopath/2007/PartnerControls"/>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098e5fb6-7d21-4832-a6f2-5c3c749cbddc}" ma:internalName="TaxCatchAll" ma:showField="CatchAllData" ma:web="bb2b36ed-bee3-4b57-9f16-23d26e905e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d6af3c6-6506-406f-906a-363a197505cb">
      <Terms xmlns="http://schemas.microsoft.com/office/infopath/2007/PartnerControls"/>
    </lcf76f155ced4ddcb4097134ff3c332f>
    <TaxCatchAll xmlns="bb2b36ed-bee3-4b57-9f16-23d26e905edb" xsi:nil="true"/>
  </documentManagement>
</p:properties>
</file>

<file path=customXml/itemProps1.xml><?xml version="1.0" encoding="utf-8"?>
<ds:datastoreItem xmlns:ds="http://schemas.openxmlformats.org/officeDocument/2006/customXml" ds:itemID="{77A61D24-7AC1-4894-A650-89117A1FC1A0}"/>
</file>

<file path=customXml/itemProps2.xml><?xml version="1.0" encoding="utf-8"?>
<ds:datastoreItem xmlns:ds="http://schemas.openxmlformats.org/officeDocument/2006/customXml" ds:itemID="{22A0B6CB-9D1A-4709-A728-99C4EED120EE}"/>
</file>

<file path=customXml/itemProps3.xml><?xml version="1.0" encoding="utf-8"?>
<ds:datastoreItem xmlns:ds="http://schemas.openxmlformats.org/officeDocument/2006/customXml" ds:itemID="{0247C226-895A-4053-B4FB-24E3435FAB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ADengra</dc:creator>
  <cp:keywords/>
  <dc:description/>
  <cp:lastModifiedBy>Higiene y Seguridad</cp:lastModifiedBy>
  <cp:revision/>
  <dcterms:created xsi:type="dcterms:W3CDTF">2007-01-12T18:33:25Z</dcterms:created>
  <dcterms:modified xsi:type="dcterms:W3CDTF">2026-02-12T18:20:05Z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0x01010022E641D985E02047BE4A10568660F6CD</vt:lpwstr>
  </property>
</Properties>
</file>
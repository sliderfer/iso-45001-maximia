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c65e3e49745c5c/Documentos/Maximia Seguridad Vial/"/>
    </mc:Choice>
  </mc:AlternateContent>
  <xr:revisionPtr revIDLastSave="325" documentId="8_{BA97ABF4-CCF1-44B8-AF4B-6768A67C11C7}" xr6:coauthVersionLast="47" xr6:coauthVersionMax="47" xr10:uidLastSave="{0601063F-72B4-4F39-A904-4D5B0A045B9D}"/>
  <bookViews>
    <workbookView xWindow="-110" yWindow="-110" windowWidth="19420" windowHeight="10300" xr2:uid="{00000000-000D-0000-FFFF-FFFF00000000}"/>
  </bookViews>
  <sheets>
    <sheet name="MIVRI" sheetId="14" r:id="rId1"/>
    <sheet name="Codificación de peligros" sheetId="10" r:id="rId2"/>
    <sheet name="Clasificac Riesgos e impactos" sheetId="15" r:id="rId3"/>
  </sheets>
  <externalReferences>
    <externalReference r:id="rId4"/>
  </externalReferences>
  <definedNames>
    <definedName name="_xlnm.Print_Area" localSheetId="2">'Clasificac Riesgos e impactos'!$A$1:$K$15</definedName>
    <definedName name="Efluentes">'[1]Base de Datos AP'!$C$112:$C$114</definedName>
    <definedName name="Emergencias">'[1]Base de Datos AP'!$C$119:$C$124</definedName>
    <definedName name="Emisiones">'[1]Base de Datos AP'!$C$100:$C$102</definedName>
    <definedName name="Locacion">'[1]Base de Datos AP'!$C$74:$C$78</definedName>
    <definedName name="Manodeobra">'[1]Base de Datos AP'!$C$56:$C$69</definedName>
    <definedName name="Maquinaria">'[1]Base de Datos AP'!$C$31:$C$55</definedName>
    <definedName name="Materia">'[1]Base de Datos AP'!$C$2:$C$4</definedName>
    <definedName name="Material">'[1]Base de Datos AP'!$C$5:$C$30</definedName>
    <definedName name="Metodo">'[1]Base de Datos AP'!$C$70:$C$73</definedName>
    <definedName name="Otras">'[1]Base de Datos AP'!$C$115:$C$118</definedName>
    <definedName name="Producto">'[1]Base de Datos AP'!$C$79:$C$98</definedName>
    <definedName name="Residuos">'[1]Base de Datos AP'!$C$103:$C$111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1" i="14" l="1"/>
  <c r="R21" i="14" s="1"/>
  <c r="Q15" i="14"/>
  <c r="Q16" i="14"/>
  <c r="Q17" i="14"/>
  <c r="R17" i="14" s="1"/>
  <c r="Q18" i="14"/>
  <c r="R18" i="14" s="1"/>
  <c r="Q19" i="14"/>
  <c r="R19" i="14" s="1"/>
  <c r="Q20" i="14"/>
  <c r="R20" i="14" s="1"/>
  <c r="Q10" i="14"/>
  <c r="Q11" i="14"/>
  <c r="Q12" i="14"/>
  <c r="Q13" i="14"/>
  <c r="S13" i="14" s="1"/>
  <c r="Q14" i="14"/>
  <c r="Q9" i="14"/>
  <c r="I15" i="14"/>
  <c r="J15" i="14" s="1"/>
  <c r="I16" i="14"/>
  <c r="J16" i="14" s="1"/>
  <c r="I17" i="14"/>
  <c r="J17" i="14" s="1"/>
  <c r="I18" i="14"/>
  <c r="J18" i="14" s="1"/>
  <c r="I19" i="14"/>
  <c r="J19" i="14" s="1"/>
  <c r="I20" i="14"/>
  <c r="J20" i="14" s="1"/>
  <c r="I21" i="14"/>
  <c r="I10" i="14"/>
  <c r="I11" i="14"/>
  <c r="I12" i="14"/>
  <c r="I13" i="14"/>
  <c r="I14" i="14"/>
  <c r="I9" i="14"/>
  <c r="R15" i="14" l="1"/>
  <c r="S15" i="14"/>
  <c r="R16" i="14"/>
  <c r="S16" i="14"/>
  <c r="S19" i="14"/>
  <c r="S17" i="14"/>
  <c r="S20" i="14"/>
  <c r="S18" i="14"/>
  <c r="S9" i="14"/>
  <c r="S10" i="14"/>
  <c r="S11" i="14"/>
  <c r="S12" i="14"/>
  <c r="S21" i="14"/>
  <c r="J13" i="14" l="1"/>
  <c r="R13" i="14" l="1"/>
  <c r="J12" i="14" l="1"/>
  <c r="R12" i="14" l="1"/>
  <c r="J21" i="14" l="1"/>
  <c r="J11" i="14"/>
  <c r="J14" i="14"/>
  <c r="J10" i="14"/>
  <c r="J9" i="14"/>
  <c r="R11" i="14" l="1"/>
  <c r="R14" i="14" l="1"/>
  <c r="R10" i="14"/>
  <c r="R9" i="14" l="1"/>
  <c r="G7" i="15" l="1"/>
  <c r="K14" i="15"/>
  <c r="J14" i="15"/>
  <c r="I14" i="15"/>
  <c r="H14" i="15"/>
  <c r="G14" i="15"/>
  <c r="K12" i="15"/>
  <c r="J12" i="15"/>
  <c r="I12" i="15"/>
  <c r="H12" i="15"/>
  <c r="G12" i="15"/>
  <c r="K10" i="15"/>
  <c r="J10" i="15"/>
  <c r="I10" i="15"/>
  <c r="H10" i="15"/>
  <c r="G10" i="15"/>
  <c r="K8" i="15"/>
  <c r="J8" i="15"/>
  <c r="I8" i="15"/>
  <c r="H8" i="15"/>
  <c r="G8" i="15"/>
  <c r="K7" i="15"/>
  <c r="J7" i="15"/>
  <c r="I7" i="15"/>
  <c r="H7" i="15"/>
</calcChain>
</file>

<file path=xl/sharedStrings.xml><?xml version="1.0" encoding="utf-8"?>
<sst xmlns="http://schemas.openxmlformats.org/spreadsheetml/2006/main" count="241" uniqueCount="217">
  <si>
    <t>MATRIZ DE IDENTIFICACIÓN Y VALORACIÓN DE RIESGOS E IMPACTOS</t>
  </si>
  <si>
    <t>Actividad</t>
  </si>
  <si>
    <t>Tarea</t>
  </si>
  <si>
    <t>Peligro / Aspecto</t>
  </si>
  <si>
    <t>Fuente</t>
  </si>
  <si>
    <t>Consecuencia</t>
  </si>
  <si>
    <t>C</t>
  </si>
  <si>
    <t>P</t>
  </si>
  <si>
    <t>Valoración del Riesgo Inicial</t>
  </si>
  <si>
    <t>Barreras de Prevención /Control</t>
  </si>
  <si>
    <t>Barreras de Mitigación / Recuperación</t>
  </si>
  <si>
    <t>Responsable</t>
  </si>
  <si>
    <t>Fecha</t>
  </si>
  <si>
    <t>Valoración del Riesgo Residual</t>
  </si>
  <si>
    <t>Nivel de Validación</t>
  </si>
  <si>
    <t>C x P</t>
  </si>
  <si>
    <t>Tipo</t>
  </si>
  <si>
    <t>Movimiento</t>
  </si>
  <si>
    <t>Gravedad</t>
  </si>
  <si>
    <t>Presión</t>
  </si>
  <si>
    <t>Equipos sometidos a presión</t>
  </si>
  <si>
    <t>Temperatura</t>
  </si>
  <si>
    <t>Mecánico</t>
  </si>
  <si>
    <t>Químico</t>
  </si>
  <si>
    <t>Listado/codificación de peligros identificados</t>
  </si>
  <si>
    <t>Biológico</t>
  </si>
  <si>
    <t>Partes en Movimiento (poleas, ejes, manivelas, proyección de particulas u objetos)</t>
  </si>
  <si>
    <t>Residuos sanitarios</t>
  </si>
  <si>
    <t>Motores</t>
  </si>
  <si>
    <t>Microrganismos</t>
  </si>
  <si>
    <t>Resortes en compresión</t>
  </si>
  <si>
    <t>Virus ó toxinas patógenas</t>
  </si>
  <si>
    <t>Correas de distribución</t>
  </si>
  <si>
    <t>Bacterias animales</t>
  </si>
  <si>
    <t>Herramientas</t>
  </si>
  <si>
    <t>Insectos</t>
  </si>
  <si>
    <t>Proyección de objetos</t>
  </si>
  <si>
    <t>Manejo inapropiado de los alimentos</t>
  </si>
  <si>
    <t>Objetos punzo cortantes</t>
  </si>
  <si>
    <t>Agua contaminada</t>
  </si>
  <si>
    <t>Mordedura de animales</t>
  </si>
  <si>
    <t>Electricos</t>
  </si>
  <si>
    <t>Ataque de animales</t>
  </si>
  <si>
    <t>Electricidad generada por agentes externos (atmosféricos o instalaciones cercanas).</t>
  </si>
  <si>
    <t>Líneas de transmisión</t>
  </si>
  <si>
    <t>Radiación</t>
  </si>
  <si>
    <t>Transformadores</t>
  </si>
  <si>
    <t>Iluminación</t>
  </si>
  <si>
    <t>Capacitores</t>
  </si>
  <si>
    <t>Arco de soldadura</t>
  </si>
  <si>
    <t>Cargas estáticas</t>
  </si>
  <si>
    <t>Rayos X</t>
  </si>
  <si>
    <t>Descargas</t>
  </si>
  <si>
    <t>Rayos solares</t>
  </si>
  <si>
    <t>Equipos eneregizados</t>
  </si>
  <si>
    <t>Micro ondas</t>
  </si>
  <si>
    <t>Cableado</t>
  </si>
  <si>
    <t>Incrustación de materiales naturalmente radio activos u otras fuentes no ionizantes</t>
  </si>
  <si>
    <t>Baterías</t>
  </si>
  <si>
    <t>Sonido</t>
  </si>
  <si>
    <t>Ruidos de impacto</t>
  </si>
  <si>
    <t xml:space="preserve">Tuberías </t>
  </si>
  <si>
    <t>Vibración</t>
  </si>
  <si>
    <t>Recipientes</t>
  </si>
  <si>
    <t>Alivio de alta presión</t>
  </si>
  <si>
    <t>Tanques</t>
  </si>
  <si>
    <t>Ruidos de equipos</t>
  </si>
  <si>
    <t>Mangueras</t>
  </si>
  <si>
    <t>Cilindros para gases comprimidos</t>
  </si>
  <si>
    <t>Caída de personas</t>
  </si>
  <si>
    <t>Equipos neumáticos (estáticos ó dinámicos)</t>
  </si>
  <si>
    <t>Caída de objetos</t>
  </si>
  <si>
    <t>Equipos hidráulicos (estáticos ó dinámicos)</t>
  </si>
  <si>
    <t>Colapso de estructuras</t>
  </si>
  <si>
    <t>Roptura de elementos de fijación y/o sujeción</t>
  </si>
  <si>
    <t>Llama abierta</t>
  </si>
  <si>
    <t>Fuentes de ignición</t>
  </si>
  <si>
    <t>Circulación de personas</t>
  </si>
  <si>
    <t>Superficie</t>
  </si>
  <si>
    <t>Circulación de vehículo ó equipos</t>
  </si>
  <si>
    <t>Líquidos</t>
  </si>
  <si>
    <t>Agua que fluye</t>
  </si>
  <si>
    <t>Gases</t>
  </si>
  <si>
    <t>Viento</t>
  </si>
  <si>
    <t>Vapores calientes</t>
  </si>
  <si>
    <t>Posiciones de las personas</t>
  </si>
  <si>
    <t>Vapores fríos</t>
  </si>
  <si>
    <t>Movimientos limitados (espacios confinados)</t>
  </si>
  <si>
    <t>Condiciones climáticas adversas</t>
  </si>
  <si>
    <t>Carga térmica (Ambiente térmicamente inadecuado: frío, calor)</t>
  </si>
  <si>
    <t>Fenomenos Naturales</t>
  </si>
  <si>
    <t>Lluvia</t>
  </si>
  <si>
    <t>Tomenta eléctrica</t>
  </si>
  <si>
    <t>Compuestos inflamables</t>
  </si>
  <si>
    <t>Huracanes</t>
  </si>
  <si>
    <t>Compuestos orgánicos</t>
  </si>
  <si>
    <t>Inundaciones</t>
  </si>
  <si>
    <t>Compuestos tóxicos</t>
  </si>
  <si>
    <t>Neblina</t>
  </si>
  <si>
    <t>Compuestos reactivos</t>
  </si>
  <si>
    <t>Compuestos corrosivos</t>
  </si>
  <si>
    <t>Eventos sociales</t>
  </si>
  <si>
    <t>Compuestos pirofóricos</t>
  </si>
  <si>
    <t>Agresiones fisicas</t>
  </si>
  <si>
    <t>Compuestos carcinógenos</t>
  </si>
  <si>
    <t>Robo de equipo/maquinaria/materiales</t>
  </si>
  <si>
    <t>Gases inertes</t>
  </si>
  <si>
    <t>Secuestros/extorciones/asaltos</t>
  </si>
  <si>
    <t>Ácidos</t>
  </si>
  <si>
    <t>Humo de soldadura</t>
  </si>
  <si>
    <t>Polvos</t>
  </si>
  <si>
    <t>CLASIFICACIÓN DE RIESGOS E IMPACTOS</t>
  </si>
  <si>
    <t>CONSECUENCIA</t>
  </si>
  <si>
    <t>PROBABILIDAD</t>
  </si>
  <si>
    <t>Personas
(personal propio, contratistas, público en general)</t>
  </si>
  <si>
    <t>Activos
(instalaciones equipos, materiales, y/o insumos)</t>
  </si>
  <si>
    <t>Daños a vehiculos</t>
  </si>
  <si>
    <t>Ambiente</t>
  </si>
  <si>
    <t>Nivel</t>
  </si>
  <si>
    <t>Improbable</t>
  </si>
  <si>
    <t>Poco Probable</t>
  </si>
  <si>
    <t>Probable</t>
  </si>
  <si>
    <t>Muy Probable</t>
  </si>
  <si>
    <t>Altamente Probable</t>
  </si>
  <si>
    <t>- No ha ocurrido en la industria.</t>
  </si>
  <si>
    <t>- Ha ocurrido en la industria al menos una vez.</t>
  </si>
  <si>
    <t>- Ha ocurrido en nuestra Empresa al menos una vez.</t>
  </si>
  <si>
    <t>- Sucede más de una vez al año en nuestra Empresa.</t>
  </si>
  <si>
    <t>- Sucede más de una vez al año en un mismo sitio.</t>
  </si>
  <si>
    <t>NINGUNA</t>
  </si>
  <si>
    <t>- Sin efecto en la salud.
- Sin lesión a las personas.</t>
  </si>
  <si>
    <t>- Sin daños.</t>
  </si>
  <si>
    <t>No hubo daños a los vehiculos, ni a los ocupantes del mismo, ni a terceros.</t>
  </si>
  <si>
    <t>-Impacto insignificante.</t>
  </si>
  <si>
    <t>MENOR</t>
  </si>
  <si>
    <t>- Lesiones leves/menores no incapacitantes sin pérdida de días (primeros  auxilios, atenciones médicas).</t>
  </si>
  <si>
    <t>- Costo de reparación y/o reemplazo, lucro cesante menor o igual a U$S 25.000.</t>
  </si>
  <si>
    <t>Cualquier accidente vehicular donde:</t>
  </si>
  <si>
    <t>- Impacto leve/menor, no significativo.
- Pérdida contenida y/o; 
- Costo de remediación menor o igual a U$S 25.000.
- Sin exposición externa.</t>
  </si>
  <si>
    <t>- Efecto leve/menor en la salud.</t>
  </si>
  <si>
    <r>
      <t xml:space="preserve">Exista un daño material al vehiculo y los ocupantes resulten sin lesión o con lesiones clasificadas como </t>
    </r>
    <r>
      <rPr>
        <b/>
        <sz val="13"/>
        <rFont val="Calibri"/>
        <family val="2"/>
      </rPr>
      <t>Primeros Auxilios.</t>
    </r>
  </si>
  <si>
    <t>SERIO</t>
  </si>
  <si>
    <t>- Lesiones no incapacitantes o incapacitantes temporales (tareas restringidas, pérdida de días con excepción de los accidentes Graves con pérdida de días).</t>
  </si>
  <si>
    <t>Costo de reparación y/o reemplazo, lucro cesante mayor a U$S 25.000 y menor a U$S 100.000.</t>
  </si>
  <si>
    <r>
      <t xml:space="preserve">Cualquier accidente vehicular donde:
- Los ocupantes resulten con lesiones clasificadas como </t>
    </r>
    <r>
      <rPr>
        <b/>
        <sz val="13"/>
        <rFont val="Calibri"/>
        <family val="2"/>
      </rPr>
      <t xml:space="preserve">Atenciones Médicas o  Tareas Restringidas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 </t>
    </r>
    <r>
      <rPr>
        <sz val="13"/>
        <rFont val="Calibri"/>
        <family val="2"/>
      </rPr>
      <t>El v</t>
    </r>
    <r>
      <rPr>
        <sz val="13"/>
        <rFont val="Calibri"/>
        <family val="2"/>
      </rPr>
      <t>ehiculo no pueda ser retirado del lugar del accidente por sus propios medios.</t>
    </r>
  </si>
  <si>
    <t>- Impacto significativo.
- Evento que requiere ser denunciado a la autoridad de aplicación y/o;
- Costo de remediación entre U$S 25.000 y U$S 50.000 y/o;
- Afectación localizada.
- Posible exposición externa.</t>
  </si>
  <si>
    <t>- Efecto mayor en la salud</t>
  </si>
  <si>
    <t>GRAVE</t>
  </si>
  <si>
    <t>- Lesiones incapacitantes permanentes.</t>
  </si>
  <si>
    <t>- Costo de reparación y/o reemplazo, lucro cesante mayor a U$S 100.000 y menor a U$S 1.000.000.</t>
  </si>
  <si>
    <r>
      <t xml:space="preserve">Cualquier accidente vehicular donde: 
- Los ocupantes resulten con lesiones clasificadas como </t>
    </r>
    <r>
      <rPr>
        <b/>
        <sz val="13"/>
        <rFont val="Calibri"/>
        <family val="2"/>
      </rPr>
      <t xml:space="preserve">Pérdidas de días o Fatalidades </t>
    </r>
    <r>
      <rPr>
        <sz val="13"/>
        <rFont val="Calibri"/>
        <family val="2"/>
      </rPr>
      <t>y/o;</t>
    </r>
    <r>
      <rPr>
        <b/>
        <sz val="13"/>
        <rFont val="Calibri"/>
        <family val="2"/>
      </rPr>
      <t xml:space="preserve">
-</t>
    </r>
    <r>
      <rPr>
        <sz val="13"/>
        <rFont val="Calibri"/>
        <family val="2"/>
      </rPr>
      <t>Te</t>
    </r>
    <r>
      <rPr>
        <sz val="13"/>
        <rFont val="Calibri"/>
        <family val="2"/>
      </rPr>
      <t xml:space="preserve">rceras partes resulten con </t>
    </r>
    <r>
      <rPr>
        <b/>
        <sz val="13"/>
        <rFont val="Calibri"/>
        <family val="2"/>
      </rPr>
      <t xml:space="preserve">Fatalidad </t>
    </r>
    <r>
      <rPr>
        <sz val="13"/>
        <rFont val="Calibri"/>
        <family val="2"/>
      </rPr>
      <t>y/o</t>
    </r>
    <r>
      <rPr>
        <sz val="13"/>
        <rFont val="Calibri"/>
        <family val="2"/>
      </rPr>
      <t xml:space="preserve"> 
-  Se produzca el vuelco del vehículo.</t>
    </r>
  </si>
  <si>
    <r>
      <t xml:space="preserve">- Impacto muy significativo, y/o
- Evento que requiere ser denunciado a la autoridad de aplicación, y/o
- </t>
    </r>
    <r>
      <rPr>
        <sz val="13"/>
        <rFont val="Calibri"/>
        <family val="2"/>
      </rPr>
      <t>Costo de remediación mayor a U$S 50.000  y menor a U$S 250.000.
- Afectación extendida.
- Exposición externa nacional.</t>
    </r>
  </si>
  <si>
    <t>- Accidente grave con pérdida de días.
- Fatalidad.</t>
  </si>
  <si>
    <t>CATASTRÓFICA</t>
  </si>
  <si>
    <t>- Múltiples fatalidades.</t>
  </si>
  <si>
    <t>- Costo de reparación y/o reemplazo, lucro cesante mayor a U$S 1.000.000.</t>
  </si>
  <si>
    <r>
      <t xml:space="preserve">- Impacto muy significativo en Áreas Sensibles, y/o
- Evento que requiere ser denunciado a la autoridad de aplicación, y/o
- </t>
    </r>
    <r>
      <rPr>
        <sz val="13"/>
        <rFont val="Calibri"/>
        <family val="2"/>
      </rPr>
      <t>Costo de remediación mayor a U$S 250.000.
- Afectación irreparable.
- Exposición externa internacional.</t>
    </r>
  </si>
  <si>
    <t>RIESGO / IMPACTO</t>
  </si>
  <si>
    <t>Bajo</t>
  </si>
  <si>
    <t>Medio</t>
  </si>
  <si>
    <t>Alto</t>
  </si>
  <si>
    <t>Actividad:</t>
  </si>
  <si>
    <t xml:space="preserve">Uso de cuchillos y utensilios en buen estado, capacitación en técnicas seguras de corte, Uso de guantes anticorte. </t>
  </si>
  <si>
    <t>Supervisor Maximia</t>
  </si>
  <si>
    <t>Sector:</t>
  </si>
  <si>
    <t>Campamento</t>
  </si>
  <si>
    <t>Operación:</t>
  </si>
  <si>
    <t>Rincon de Aranda</t>
  </si>
  <si>
    <t>Mantenimiento</t>
  </si>
  <si>
    <t xml:space="preserve">Plan de Emergencias. Rol de Comunicaciones. Simulacros. Presencia de ambulancia disponible para Emergencias en función de la criticidad de las tareas. SERVIVCO DE EMERGENCIA RDA-CPF: 299-4042857 / Canal radio: DIRECTO 4                                 </t>
  </si>
  <si>
    <t>Reparación de equipos</t>
  </si>
  <si>
    <t>Riesgo eléctrico</t>
  </si>
  <si>
    <t>Esfuerzo físico / ergonomía</t>
  </si>
  <si>
    <t>Lesiones lumbares, fatiga muscular</t>
  </si>
  <si>
    <t>Mantenimiento de predio</t>
  </si>
  <si>
    <t>Energía eléctrica</t>
  </si>
  <si>
    <t>Movimiento / postura</t>
  </si>
  <si>
    <t>Electrocución, quemaduras</t>
  </si>
  <si>
    <t>Lesiones graves / atrapamiento</t>
  </si>
  <si>
    <t>Lesiones incapacitante permanentes / pérdida de días</t>
  </si>
  <si>
    <t>Lesiones / intoxicación / daños</t>
  </si>
  <si>
    <t>Temperatura / chispas</t>
  </si>
  <si>
    <t>Lesiones incapacitantes, Perdidas de dias / Efecto mayor para la salud</t>
  </si>
  <si>
    <t>Golpes, cortes, tropiezos</t>
  </si>
  <si>
    <t>Lesiones leves o moderadas</t>
  </si>
  <si>
    <t>Herramientas en buen estado; orden del puesto; uso de guantes.</t>
  </si>
  <si>
    <t>Herramientas con doble aislación; manos secas; disyuntor diferencial; guantes dieléctricos.</t>
  </si>
  <si>
    <t>Extintores ABC; control de inflamables; ventilación adecuada.</t>
  </si>
  <si>
    <t>Caída de personas a distinto nivel</t>
  </si>
  <si>
    <t>Lesiones incapacitantes / fracturas / pérdida de días</t>
  </si>
  <si>
    <t>gravedad / movimiento</t>
  </si>
  <si>
    <t>Tropiezos, golpes, resbalones</t>
  </si>
  <si>
    <t>Movimiento / gravedad</t>
  </si>
  <si>
    <t>Lesiones leves o incapacitantes temporales</t>
  </si>
  <si>
    <t>Electrocución / quemaduras / Perdida de dias</t>
  </si>
  <si>
    <t>Cortes / punzadura</t>
  </si>
  <si>
    <t>Heridas leves o moderadas</t>
  </si>
  <si>
    <t>Guantes anticorte; segregación de residuos</t>
  </si>
  <si>
    <t>Golpes, cortes o resbalones</t>
  </si>
  <si>
    <t>Mecánico / Quimicos</t>
  </si>
  <si>
    <t>Recolección y segregación de residuos; mantener piso seco; orden visual 5S.</t>
  </si>
  <si>
    <t>Riesgo químico</t>
  </si>
  <si>
    <t>Sustancias irritantes o corrosivas</t>
  </si>
  <si>
    <t>Irritación dérmica u ocular / intoxicación</t>
  </si>
  <si>
    <t>Productos rotulados SGA; gafas; guantes; ventilación; duchas cercanas.</t>
  </si>
  <si>
    <t>Ergonomía</t>
  </si>
  <si>
    <t>Dolor muscular / contracturas</t>
  </si>
  <si>
    <t>Pausas activas; posturas correctas; herramientas ergonómicas.</t>
  </si>
  <si>
    <t>Descarga / corto circuito</t>
  </si>
  <si>
    <t xml:space="preserve"> Mantenimiento </t>
  </si>
  <si>
    <t xml:space="preserve">LA PRESENTE MIVRI CONSIDERA LOS RIESGOS E IMPACTOS ESTÁNDAR PROPIOS DE LA ACTIVIDAD. 
</t>
  </si>
  <si>
    <t>Desenergizar antes de guardar; verificar tableros apagados; cableado ordenado.</t>
  </si>
  <si>
    <t>Mantener resguardos; bloqueo (LOTO) previo; distancia segura uso  de EPP</t>
  </si>
  <si>
    <t>Levantar con piernas; pausas activas; evitar torsiones. Evitar cargas superiores a 25 k</t>
  </si>
  <si>
    <t>.Caminar por senderos habilitados, uso de calzado de seguridad, mantener atención al entorno.</t>
  </si>
  <si>
    <t>Orden 5S, suelos limpios y secos; calzado antideslizante.Caminar por senderos habilitados, mantener atención al entorno.</t>
  </si>
  <si>
    <t>Jefes de División / Area /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</si>
</sst>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[$€-2]* #,##0.00_-;\-[$€-2]* #,##0.00_-;_-[$€-2]* &quot;-&quot;??_-"/>
  </numFmts>
  <fonts count="2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6"/>
      <name val="Calibri"/>
      <family val="2"/>
      <scheme val="minor"/>
    </font>
    <font>
      <sz val="13"/>
      <name val="Calibri"/>
      <family val="2"/>
    </font>
    <font>
      <b/>
      <sz val="13"/>
      <name val="Calibri"/>
      <family val="2"/>
    </font>
    <font>
      <sz val="14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Calibri"/>
      <family val="2"/>
      <scheme val="minor"/>
    </font>
    <font>
      <sz val="10"/>
      <name val="Arial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5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0" fontId="5" fillId="0" borderId="0"/>
    <xf numFmtId="0" fontId="5" fillId="2" borderId="3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2" borderId="3" applyNumberFormat="0" applyFont="0" applyAlignment="0" applyProtection="0"/>
    <xf numFmtId="0" fontId="3" fillId="0" borderId="0"/>
    <xf numFmtId="0" fontId="11" fillId="5" borderId="14" applyNumberFormat="0" applyAlignment="0" applyProtection="0"/>
    <xf numFmtId="0" fontId="2" fillId="0" borderId="0"/>
    <xf numFmtId="0" fontId="2" fillId="2" borderId="3" applyNumberFormat="0" applyFont="0" applyAlignment="0" applyProtection="0"/>
    <xf numFmtId="0" fontId="1" fillId="0" borderId="0"/>
    <xf numFmtId="44" fontId="28" fillId="0" borderId="0" applyFont="0" applyFill="0" applyBorder="0" applyAlignment="0" applyProtection="0"/>
  </cellStyleXfs>
  <cellXfs count="169">
    <xf numFmtId="0" fontId="0" fillId="0" borderId="0" xfId="0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0" fillId="4" borderId="18" xfId="99" applyFont="1" applyFill="1" applyBorder="1" applyAlignment="1">
      <alignment horizontal="center" vertical="center" wrapText="1"/>
    </xf>
    <xf numFmtId="0" fontId="10" fillId="4" borderId="19" xfId="99" applyFont="1" applyFill="1" applyBorder="1" applyAlignment="1">
      <alignment horizontal="center" vertical="center" wrapText="1"/>
    </xf>
    <xf numFmtId="0" fontId="2" fillId="0" borderId="0" xfId="101"/>
    <xf numFmtId="0" fontId="14" fillId="10" borderId="2" xfId="102" applyFont="1" applyFill="1" applyBorder="1" applyAlignment="1">
      <alignment horizontal="center" vertical="center" wrapText="1"/>
    </xf>
    <xf numFmtId="0" fontId="14" fillId="11" borderId="1" xfId="102" quotePrefix="1" applyFont="1" applyFill="1" applyBorder="1" applyAlignment="1">
      <alignment horizontal="center" vertical="center" wrapText="1"/>
    </xf>
    <xf numFmtId="0" fontId="14" fillId="12" borderId="2" xfId="102" applyFont="1" applyFill="1" applyBorder="1" applyAlignment="1">
      <alignment horizontal="center" vertical="center" wrapText="1"/>
    </xf>
    <xf numFmtId="0" fontId="14" fillId="12" borderId="2" xfId="102" quotePrefix="1" applyFont="1" applyFill="1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9" fillId="0" borderId="22" xfId="101" applyFont="1" applyBorder="1" applyAlignment="1">
      <alignment horizontal="center" wrapText="1"/>
    </xf>
    <xf numFmtId="0" fontId="14" fillId="10" borderId="24" xfId="102" applyFont="1" applyFill="1" applyBorder="1" applyAlignment="1">
      <alignment horizontal="center" vertical="center" wrapText="1"/>
    </xf>
    <xf numFmtId="0" fontId="14" fillId="10" borderId="22" xfId="102" applyFont="1" applyFill="1" applyBorder="1" applyAlignment="1">
      <alignment horizontal="center" vertical="center" wrapText="1"/>
    </xf>
    <xf numFmtId="0" fontId="12" fillId="11" borderId="13" xfId="100" applyFont="1" applyFill="1" applyBorder="1" applyAlignment="1">
      <alignment horizontal="center" vertical="center" wrapText="1"/>
    </xf>
    <xf numFmtId="0" fontId="15" fillId="11" borderId="13" xfId="102" quotePrefix="1" applyFont="1" applyFill="1" applyBorder="1" applyAlignment="1">
      <alignment horizontal="left" vertical="center" wrapText="1" indent="1"/>
    </xf>
    <xf numFmtId="0" fontId="15" fillId="11" borderId="13" xfId="102" applyFont="1" applyFill="1" applyBorder="1" applyAlignment="1">
      <alignment horizontal="center" vertical="center" wrapText="1"/>
    </xf>
    <xf numFmtId="0" fontId="14" fillId="11" borderId="25" xfId="100" applyFont="1" applyFill="1" applyBorder="1" applyAlignment="1">
      <alignment horizontal="center" vertical="center" wrapText="1"/>
    </xf>
    <xf numFmtId="0" fontId="16" fillId="8" borderId="15" xfId="100" applyFont="1" applyFill="1" applyBorder="1" applyAlignment="1">
      <alignment horizontal="center" vertical="center" wrapText="1"/>
    </xf>
    <xf numFmtId="0" fontId="15" fillId="12" borderId="2" xfId="102" applyFont="1" applyFill="1" applyBorder="1" applyAlignment="1">
      <alignment horizontal="center" vertical="center" wrapText="1"/>
    </xf>
    <xf numFmtId="49" fontId="17" fillId="12" borderId="2" xfId="102" quotePrefix="1" applyNumberFormat="1" applyFont="1" applyFill="1" applyBorder="1" applyAlignment="1">
      <alignment horizontal="left" vertical="center" wrapText="1"/>
    </xf>
    <xf numFmtId="0" fontId="15" fillId="12" borderId="2" xfId="102" applyNumberFormat="1" applyFont="1" applyFill="1" applyBorder="1" applyAlignment="1">
      <alignment horizontal="center" vertical="center" wrapText="1"/>
    </xf>
    <xf numFmtId="49" fontId="19" fillId="12" borderId="2" xfId="102" quotePrefix="1" applyNumberFormat="1" applyFont="1" applyFill="1" applyBorder="1" applyAlignment="1">
      <alignment horizontal="left" vertical="center" wrapText="1" indent="1"/>
    </xf>
    <xf numFmtId="49" fontId="19" fillId="12" borderId="2" xfId="102" quotePrefix="1" applyNumberFormat="1" applyFont="1" applyFill="1" applyBorder="1" applyAlignment="1">
      <alignment horizontal="left" vertical="center" wrapText="1"/>
    </xf>
    <xf numFmtId="49" fontId="17" fillId="12" borderId="2" xfId="102" applyNumberFormat="1" applyFont="1" applyFill="1" applyBorder="1" applyAlignment="1">
      <alignment horizontal="left" vertical="center" wrapText="1"/>
    </xf>
    <xf numFmtId="0" fontId="12" fillId="0" borderId="0" xfId="100" applyFont="1" applyFill="1" applyBorder="1" applyAlignment="1">
      <alignment horizontal="center" vertical="center" wrapText="1"/>
    </xf>
    <xf numFmtId="0" fontId="15" fillId="0" borderId="0" xfId="102" applyFont="1" applyFill="1" applyBorder="1" applyAlignment="1">
      <alignment horizontal="left" vertical="center" wrapText="1" indent="1"/>
    </xf>
    <xf numFmtId="0" fontId="15" fillId="0" borderId="0" xfId="102" applyFont="1" applyFill="1" applyBorder="1" applyAlignment="1">
      <alignment horizontal="center" vertical="center" wrapText="1"/>
    </xf>
    <xf numFmtId="0" fontId="16" fillId="0" borderId="0" xfId="100" applyFont="1" applyFill="1" applyBorder="1" applyAlignment="1">
      <alignment horizontal="center" vertical="center" wrapText="1"/>
    </xf>
    <xf numFmtId="0" fontId="20" fillId="0" borderId="0" xfId="101" applyFont="1"/>
    <xf numFmtId="0" fontId="2" fillId="0" borderId="0" xfId="101" applyAlignment="1">
      <alignment wrapText="1"/>
    </xf>
    <xf numFmtId="0" fontId="20" fillId="0" borderId="0" xfId="101" applyFont="1" applyAlignment="1">
      <alignment vertical="center" wrapText="1"/>
    </xf>
    <xf numFmtId="0" fontId="21" fillId="13" borderId="28" xfId="101" applyFont="1" applyFill="1" applyBorder="1" applyAlignment="1">
      <alignment horizontal="center" vertical="center"/>
    </xf>
    <xf numFmtId="0" fontId="21" fillId="7" borderId="28" xfId="101" applyFont="1" applyFill="1" applyBorder="1" applyAlignment="1">
      <alignment horizontal="center" vertical="center"/>
    </xf>
    <xf numFmtId="0" fontId="21" fillId="6" borderId="28" xfId="101" applyFont="1" applyFill="1" applyBorder="1" applyAlignment="1">
      <alignment horizontal="center" vertical="center"/>
    </xf>
    <xf numFmtId="0" fontId="20" fillId="0" borderId="0" xfId="101" applyFont="1" applyAlignment="1">
      <alignment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22" fillId="0" borderId="4" xfId="2" applyFont="1" applyBorder="1" applyAlignment="1">
      <alignment horizontal="center" vertical="center" wrapText="1"/>
    </xf>
    <xf numFmtId="0" fontId="22" fillId="0" borderId="2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 vertical="center" wrapText="1"/>
    </xf>
    <xf numFmtId="0" fontId="23" fillId="3" borderId="16" xfId="99" applyFont="1" applyFill="1" applyBorder="1" applyAlignment="1">
      <alignment horizontal="center" vertical="center" wrapText="1"/>
    </xf>
    <xf numFmtId="0" fontId="23" fillId="3" borderId="29" xfId="99" applyFont="1" applyFill="1" applyBorder="1" applyAlignment="1">
      <alignment horizontal="center" vertical="center" wrapText="1"/>
    </xf>
    <xf numFmtId="0" fontId="23" fillId="3" borderId="17" xfId="99" applyFont="1" applyFill="1" applyBorder="1" applyAlignment="1">
      <alignment horizontal="center" vertical="center" wrapText="1"/>
    </xf>
    <xf numFmtId="0" fontId="23" fillId="3" borderId="4" xfId="99" applyFont="1" applyFill="1" applyBorder="1" applyAlignment="1">
      <alignment horizontal="center" vertical="center"/>
    </xf>
    <xf numFmtId="0" fontId="23" fillId="3" borderId="2" xfId="99" applyFont="1" applyFill="1" applyBorder="1" applyAlignment="1">
      <alignment horizontal="center" vertical="center"/>
    </xf>
    <xf numFmtId="0" fontId="0" fillId="3" borderId="0" xfId="0" applyFill="1" applyAlignment="1">
      <alignment wrapText="1"/>
    </xf>
    <xf numFmtId="0" fontId="23" fillId="3" borderId="13" xfId="99" applyFont="1" applyFill="1" applyBorder="1" applyAlignment="1">
      <alignment horizontal="center" vertical="center"/>
    </xf>
    <xf numFmtId="0" fontId="25" fillId="0" borderId="2" xfId="99" applyFont="1" applyBorder="1" applyAlignment="1">
      <alignment horizontal="center" vertical="center" wrapText="1"/>
    </xf>
    <xf numFmtId="0" fontId="25" fillId="14" borderId="5" xfId="0" applyFont="1" applyFill="1" applyBorder="1" applyAlignment="1">
      <alignment horizontal="center" vertical="center"/>
    </xf>
    <xf numFmtId="0" fontId="25" fillId="14" borderId="13" xfId="0" applyFont="1" applyFill="1" applyBorder="1" applyAlignment="1">
      <alignment horizontal="center" vertical="center" wrapText="1"/>
    </xf>
    <xf numFmtId="0" fontId="25" fillId="14" borderId="20" xfId="0" applyFont="1" applyFill="1" applyBorder="1" applyAlignment="1">
      <alignment horizontal="center" vertical="center"/>
    </xf>
    <xf numFmtId="0" fontId="1" fillId="3" borderId="4" xfId="99" applyFont="1" applyFill="1" applyBorder="1" applyAlignment="1">
      <alignment horizontal="center" vertical="center"/>
    </xf>
    <xf numFmtId="0" fontId="1" fillId="3" borderId="2" xfId="99" applyFont="1" applyFill="1" applyBorder="1" applyAlignment="1">
      <alignment horizontal="center" vertical="center"/>
    </xf>
    <xf numFmtId="0" fontId="1" fillId="3" borderId="31" xfId="99" applyFont="1" applyFill="1" applyBorder="1" applyAlignment="1">
      <alignment horizontal="center" vertical="center"/>
    </xf>
    <xf numFmtId="0" fontId="1" fillId="3" borderId="5" xfId="99" applyFont="1" applyFill="1" applyBorder="1" applyAlignment="1">
      <alignment horizontal="center" vertical="center"/>
    </xf>
    <xf numFmtId="0" fontId="23" fillId="3" borderId="31" xfId="99" applyFont="1" applyFill="1" applyBorder="1" applyAlignment="1">
      <alignment horizontal="center" vertical="center"/>
    </xf>
    <xf numFmtId="0" fontId="22" fillId="0" borderId="31" xfId="2" applyFont="1" applyBorder="1" applyAlignment="1">
      <alignment horizontal="center" vertical="center" wrapText="1"/>
    </xf>
    <xf numFmtId="0" fontId="23" fillId="3" borderId="33" xfId="99" applyFont="1" applyFill="1" applyBorder="1" applyAlignment="1">
      <alignment horizontal="center" vertical="center" wrapText="1"/>
    </xf>
    <xf numFmtId="0" fontId="23" fillId="3" borderId="5" xfId="99" applyFont="1" applyFill="1" applyBorder="1" applyAlignment="1">
      <alignment horizontal="center" vertical="center"/>
    </xf>
    <xf numFmtId="0" fontId="22" fillId="0" borderId="5" xfId="2" applyFont="1" applyBorder="1" applyAlignment="1">
      <alignment horizontal="center" vertical="center" wrapText="1"/>
    </xf>
    <xf numFmtId="0" fontId="23" fillId="3" borderId="6" xfId="99" applyFont="1" applyFill="1" applyBorder="1" applyAlignment="1">
      <alignment horizontal="center" vertical="center" wrapText="1"/>
    </xf>
    <xf numFmtId="0" fontId="9" fillId="3" borderId="36" xfId="99" applyFont="1" applyFill="1" applyBorder="1" applyAlignment="1">
      <alignment horizontal="center" vertical="center"/>
    </xf>
    <xf numFmtId="0" fontId="9" fillId="3" borderId="37" xfId="99" applyFont="1" applyFill="1" applyBorder="1" applyAlignment="1">
      <alignment horizontal="center" vertical="center"/>
    </xf>
    <xf numFmtId="0" fontId="9" fillId="3" borderId="38" xfId="99" applyFont="1" applyFill="1" applyBorder="1" applyAlignment="1">
      <alignment vertical="center"/>
    </xf>
    <xf numFmtId="0" fontId="9" fillId="3" borderId="30" xfId="99" applyFont="1" applyFill="1" applyBorder="1" applyAlignment="1">
      <alignment horizontal="center" vertical="center"/>
    </xf>
    <xf numFmtId="0" fontId="9" fillId="3" borderId="0" xfId="99" applyFont="1" applyFill="1" applyAlignment="1">
      <alignment horizontal="center" vertical="center"/>
    </xf>
    <xf numFmtId="0" fontId="9" fillId="3" borderId="41" xfId="99" applyFont="1" applyFill="1" applyBorder="1" applyAlignment="1">
      <alignment vertical="center"/>
    </xf>
    <xf numFmtId="0" fontId="24" fillId="3" borderId="0" xfId="99" applyFont="1" applyFill="1" applyAlignment="1">
      <alignment horizontal="left" wrapText="1"/>
    </xf>
    <xf numFmtId="0" fontId="25" fillId="14" borderId="31" xfId="0" applyFont="1" applyFill="1" applyBorder="1" applyAlignment="1">
      <alignment horizontal="center" vertical="center"/>
    </xf>
    <xf numFmtId="0" fontId="23" fillId="3" borderId="42" xfId="99" applyFont="1" applyFill="1" applyBorder="1" applyAlignment="1">
      <alignment horizontal="center" vertical="center" wrapText="1"/>
    </xf>
    <xf numFmtId="0" fontId="10" fillId="4" borderId="32" xfId="99" applyFont="1" applyFill="1" applyBorder="1" applyAlignment="1">
      <alignment horizontal="center" vertical="center" wrapText="1"/>
    </xf>
    <xf numFmtId="0" fontId="10" fillId="4" borderId="6" xfId="99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7" fillId="3" borderId="44" xfId="99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4" fontId="23" fillId="3" borderId="4" xfId="99" applyNumberFormat="1" applyFont="1" applyFill="1" applyBorder="1" applyAlignment="1">
      <alignment horizontal="center" vertical="center"/>
    </xf>
    <xf numFmtId="14" fontId="23" fillId="3" borderId="13" xfId="99" applyNumberFormat="1" applyFont="1" applyFill="1" applyBorder="1" applyAlignment="1">
      <alignment horizontal="center" vertical="center"/>
    </xf>
    <xf numFmtId="14" fontId="23" fillId="3" borderId="2" xfId="99" applyNumberFormat="1" applyFont="1" applyFill="1" applyBorder="1" applyAlignment="1">
      <alignment horizontal="center" vertical="center"/>
    </xf>
    <xf numFmtId="14" fontId="23" fillId="3" borderId="31" xfId="99" applyNumberFormat="1" applyFont="1" applyFill="1" applyBorder="1" applyAlignment="1">
      <alignment horizontal="center" vertical="center"/>
    </xf>
    <xf numFmtId="14" fontId="23" fillId="3" borderId="5" xfId="99" applyNumberFormat="1" applyFont="1" applyFill="1" applyBorder="1" applyAlignment="1">
      <alignment horizontal="center" vertical="center"/>
    </xf>
    <xf numFmtId="14" fontId="1" fillId="3" borderId="31" xfId="99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3" borderId="1" xfId="99" applyFont="1" applyFill="1" applyBorder="1" applyAlignment="1">
      <alignment horizontal="center" vertical="center"/>
    </xf>
    <xf numFmtId="0" fontId="1" fillId="3" borderId="44" xfId="99" applyFont="1" applyFill="1" applyBorder="1" applyAlignment="1">
      <alignment horizontal="center" vertical="center"/>
    </xf>
    <xf numFmtId="0" fontId="25" fillId="0" borderId="45" xfId="0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2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5" fillId="3" borderId="1" xfId="99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46" xfId="0" applyFont="1" applyBorder="1" applyAlignment="1">
      <alignment vertical="center" wrapText="1"/>
    </xf>
    <xf numFmtId="0" fontId="25" fillId="14" borderId="31" xfId="0" applyFont="1" applyFill="1" applyBorder="1" applyAlignment="1">
      <alignment horizontal="center" vertical="center" wrapText="1"/>
    </xf>
    <xf numFmtId="44" fontId="8" fillId="0" borderId="9" xfId="104" applyFont="1" applyBorder="1" applyAlignment="1">
      <alignment horizontal="center" vertical="center" wrapText="1"/>
    </xf>
    <xf numFmtId="0" fontId="27" fillId="3" borderId="10" xfId="99" applyFont="1" applyFill="1" applyBorder="1" applyAlignment="1">
      <alignment horizontal="center" vertical="center"/>
    </xf>
    <xf numFmtId="0" fontId="27" fillId="3" borderId="11" xfId="99" applyFont="1" applyFill="1" applyBorder="1" applyAlignment="1">
      <alignment horizontal="center" vertical="center"/>
    </xf>
    <xf numFmtId="0" fontId="27" fillId="3" borderId="12" xfId="99" applyFont="1" applyFill="1" applyBorder="1" applyAlignment="1">
      <alignment horizontal="center" vertical="center"/>
    </xf>
    <xf numFmtId="0" fontId="26" fillId="3" borderId="37" xfId="99" applyFont="1" applyFill="1" applyBorder="1" applyAlignment="1">
      <alignment horizontal="left"/>
    </xf>
    <xf numFmtId="0" fontId="26" fillId="3" borderId="0" xfId="99" applyFont="1" applyFill="1" applyAlignment="1">
      <alignment horizontal="left"/>
    </xf>
    <xf numFmtId="0" fontId="26" fillId="3" borderId="0" xfId="99" applyFont="1" applyFill="1" applyAlignment="1">
      <alignment horizontal="left" wrapText="1"/>
    </xf>
    <xf numFmtId="0" fontId="9" fillId="3" borderId="34" xfId="99" applyFont="1" applyFill="1" applyBorder="1" applyAlignment="1">
      <alignment horizontal="center" vertical="center"/>
    </xf>
    <xf numFmtId="0" fontId="9" fillId="3" borderId="35" xfId="99" applyFont="1" applyFill="1" applyBorder="1" applyAlignment="1">
      <alignment horizontal="center" vertical="center"/>
    </xf>
    <xf numFmtId="0" fontId="10" fillId="4" borderId="30" xfId="99" applyFont="1" applyFill="1" applyBorder="1" applyAlignment="1">
      <alignment horizontal="center" vertical="center" wrapText="1"/>
    </xf>
    <xf numFmtId="0" fontId="10" fillId="4" borderId="41" xfId="99" applyFont="1" applyFill="1" applyBorder="1" applyAlignment="1">
      <alignment horizontal="center" vertical="center" wrapText="1"/>
    </xf>
    <xf numFmtId="0" fontId="10" fillId="4" borderId="39" xfId="99" applyFont="1" applyFill="1" applyBorder="1" applyAlignment="1">
      <alignment horizontal="center" vertical="center" wrapText="1"/>
    </xf>
    <xf numFmtId="0" fontId="10" fillId="4" borderId="40" xfId="99" applyFont="1" applyFill="1" applyBorder="1" applyAlignment="1">
      <alignment horizontal="center" vertical="center" wrapText="1"/>
    </xf>
    <xf numFmtId="0" fontId="10" fillId="4" borderId="8" xfId="99" applyFont="1" applyFill="1" applyBorder="1" applyAlignment="1">
      <alignment horizontal="center" vertical="center" wrapText="1"/>
    </xf>
    <xf numFmtId="0" fontId="10" fillId="4" borderId="9" xfId="99" applyFont="1" applyFill="1" applyBorder="1" applyAlignment="1">
      <alignment horizontal="center" vertical="center" wrapText="1"/>
    </xf>
    <xf numFmtId="0" fontId="10" fillId="4" borderId="43" xfId="99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24" fillId="3" borderId="7" xfId="99" applyFont="1" applyFill="1" applyBorder="1" applyAlignment="1">
      <alignment horizontal="center" vertical="center" textRotation="90" wrapText="1"/>
    </xf>
    <xf numFmtId="0" fontId="24" fillId="3" borderId="8" xfId="99" applyFont="1" applyFill="1" applyBorder="1" applyAlignment="1">
      <alignment horizontal="center" vertical="center" textRotation="90" wrapText="1"/>
    </xf>
    <xf numFmtId="0" fontId="24" fillId="3" borderId="38" xfId="99" applyFont="1" applyFill="1" applyBorder="1" applyAlignment="1">
      <alignment horizontal="center" vertical="center" wrapText="1"/>
    </xf>
    <xf numFmtId="0" fontId="24" fillId="3" borderId="41" xfId="99" applyFont="1" applyFill="1" applyBorder="1" applyAlignment="1">
      <alignment horizontal="center" vertical="center" wrapText="1"/>
    </xf>
    <xf numFmtId="0" fontId="24" fillId="3" borderId="40" xfId="99" applyFont="1" applyFill="1" applyBorder="1" applyAlignment="1">
      <alignment horizontal="center" vertical="center" wrapText="1"/>
    </xf>
    <xf numFmtId="44" fontId="24" fillId="3" borderId="38" xfId="104" applyFont="1" applyFill="1" applyBorder="1" applyAlignment="1">
      <alignment horizontal="center" vertical="center" wrapText="1"/>
    </xf>
    <xf numFmtId="44" fontId="24" fillId="3" borderId="41" xfId="104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9" fillId="0" borderId="0" xfId="101" applyFont="1" applyAlignment="1">
      <alignment horizontal="center"/>
    </xf>
    <xf numFmtId="0" fontId="12" fillId="9" borderId="2" xfId="101" applyFont="1" applyFill="1" applyBorder="1" applyAlignment="1">
      <alignment horizontal="center" wrapText="1"/>
    </xf>
    <xf numFmtId="0" fontId="12" fillId="9" borderId="21" xfId="101" applyFont="1" applyFill="1" applyBorder="1" applyAlignment="1">
      <alignment horizontal="center" wrapText="1"/>
    </xf>
    <xf numFmtId="0" fontId="12" fillId="9" borderId="1" xfId="101" applyFont="1" applyFill="1" applyBorder="1" applyAlignment="1">
      <alignment horizontal="center" wrapText="1"/>
    </xf>
    <xf numFmtId="0" fontId="14" fillId="10" borderId="2" xfId="102" applyFont="1" applyFill="1" applyBorder="1" applyAlignment="1">
      <alignment horizontal="center" vertical="center" wrapText="1"/>
    </xf>
    <xf numFmtId="0" fontId="14" fillId="10" borderId="22" xfId="102" applyFont="1" applyFill="1" applyBorder="1" applyAlignment="1">
      <alignment horizontal="center" vertical="center" wrapText="1"/>
    </xf>
    <xf numFmtId="0" fontId="14" fillId="10" borderId="21" xfId="102" applyFont="1" applyFill="1" applyBorder="1" applyAlignment="1">
      <alignment horizontal="center" vertical="center" textRotation="90" wrapText="1"/>
    </xf>
    <xf numFmtId="0" fontId="14" fillId="10" borderId="23" xfId="102" applyFont="1" applyFill="1" applyBorder="1" applyAlignment="1">
      <alignment horizontal="center" vertical="center" textRotation="90" wrapText="1"/>
    </xf>
    <xf numFmtId="0" fontId="16" fillId="8" borderId="20" xfId="100" applyFont="1" applyFill="1" applyBorder="1" applyAlignment="1">
      <alignment horizontal="center" vertical="center" wrapText="1"/>
    </xf>
    <xf numFmtId="0" fontId="16" fillId="8" borderId="13" xfId="100" applyFont="1" applyFill="1" applyBorder="1" applyAlignment="1">
      <alignment horizontal="center" vertical="center" wrapText="1"/>
    </xf>
    <xf numFmtId="0" fontId="16" fillId="7" borderId="20" xfId="100" applyFont="1" applyFill="1" applyBorder="1" applyAlignment="1">
      <alignment horizontal="center" vertical="center" wrapText="1"/>
    </xf>
    <xf numFmtId="0" fontId="16" fillId="7" borderId="13" xfId="100" applyFont="1" applyFill="1" applyBorder="1" applyAlignment="1">
      <alignment horizontal="center" vertical="center" wrapText="1"/>
    </xf>
    <xf numFmtId="0" fontId="12" fillId="12" borderId="2" xfId="100" applyFont="1" applyFill="1" applyBorder="1" applyAlignment="1">
      <alignment horizontal="center" vertical="center" wrapText="1"/>
    </xf>
    <xf numFmtId="0" fontId="15" fillId="12" borderId="2" xfId="102" quotePrefix="1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left" vertical="center" wrapText="1" indent="1"/>
    </xf>
    <xf numFmtId="0" fontId="15" fillId="12" borderId="2" xfId="102" applyFont="1" applyFill="1" applyBorder="1" applyAlignment="1">
      <alignment horizontal="center" vertical="center" wrapText="1"/>
    </xf>
    <xf numFmtId="0" fontId="14" fillId="12" borderId="21" xfId="100" applyFont="1" applyFill="1" applyBorder="1" applyAlignment="1">
      <alignment horizontal="center" vertical="center" wrapText="1"/>
    </xf>
    <xf numFmtId="0" fontId="16" fillId="8" borderId="26" xfId="100" applyFont="1" applyFill="1" applyBorder="1" applyAlignment="1">
      <alignment horizontal="center" vertical="center" wrapText="1"/>
    </xf>
    <xf numFmtId="0" fontId="16" fillId="8" borderId="27" xfId="100" applyFont="1" applyFill="1" applyBorder="1" applyAlignment="1">
      <alignment horizontal="center" vertical="center" wrapText="1"/>
    </xf>
    <xf numFmtId="0" fontId="16" fillId="6" borderId="20" xfId="100" applyFont="1" applyFill="1" applyBorder="1" applyAlignment="1">
      <alignment horizontal="center" vertical="center" wrapText="1"/>
    </xf>
    <xf numFmtId="0" fontId="16" fillId="6" borderId="13" xfId="100" applyFont="1" applyFill="1" applyBorder="1" applyAlignment="1">
      <alignment horizontal="center" vertical="center" wrapText="1"/>
    </xf>
    <xf numFmtId="0" fontId="12" fillId="9" borderId="0" xfId="101" applyFont="1" applyFill="1" applyAlignment="1">
      <alignment horizontal="center" wrapText="1"/>
    </xf>
    <xf numFmtId="0" fontId="21" fillId="0" borderId="0" xfId="101" applyFont="1" applyAlignment="1">
      <alignment horizontal="center" wrapText="1"/>
    </xf>
    <xf numFmtId="0" fontId="12" fillId="12" borderId="21" xfId="100" applyFont="1" applyFill="1" applyBorder="1" applyAlignment="1">
      <alignment horizontal="center" vertical="center" wrapText="1"/>
    </xf>
    <xf numFmtId="0" fontId="16" fillId="7" borderId="26" xfId="100" applyFont="1" applyFill="1" applyBorder="1" applyAlignment="1">
      <alignment horizontal="center" vertical="center" wrapText="1"/>
    </xf>
    <xf numFmtId="0" fontId="16" fillId="7" borderId="27" xfId="100" applyFont="1" applyFill="1" applyBorder="1" applyAlignment="1">
      <alignment horizontal="center" vertical="center" wrapText="1"/>
    </xf>
    <xf numFmtId="0" fontId="2" fillId="0" borderId="0" xfId="101" applyAlignment="1">
      <alignment horizontal="center"/>
    </xf>
    <xf numFmtId="0" fontId="2" fillId="0" borderId="0" xfId="101" applyAlignment="1">
      <alignment horizontal="center" wrapText="1"/>
    </xf>
  </cellXfs>
  <cellStyles count="105">
    <cellStyle name="Entrada" xfId="100" builtinId="20"/>
    <cellStyle name="Euro" xfId="1" xr:uid="{00000000-0005-0000-0000-000001000000}"/>
    <cellStyle name="Moneda" xfId="104" builtinId="4"/>
    <cellStyle name="Normal" xfId="0" builtinId="0"/>
    <cellStyle name="Normal 10" xfId="5" xr:uid="{00000000-0005-0000-0000-000003000000}"/>
    <cellStyle name="Normal 10 2" xfId="6" xr:uid="{00000000-0005-0000-0000-000004000000}"/>
    <cellStyle name="Normal 10 3" xfId="7" xr:uid="{00000000-0005-0000-0000-000005000000}"/>
    <cellStyle name="Normal 10 4" xfId="8" xr:uid="{00000000-0005-0000-0000-000006000000}"/>
    <cellStyle name="Normal 11" xfId="9" xr:uid="{00000000-0005-0000-0000-000007000000}"/>
    <cellStyle name="Normal 11 2" xfId="10" xr:uid="{00000000-0005-0000-0000-000008000000}"/>
    <cellStyle name="Normal 11 3" xfId="11" xr:uid="{00000000-0005-0000-0000-000009000000}"/>
    <cellStyle name="Normal 11 4" xfId="12" xr:uid="{00000000-0005-0000-0000-00000A000000}"/>
    <cellStyle name="Normal 12" xfId="13" xr:uid="{00000000-0005-0000-0000-00000B000000}"/>
    <cellStyle name="Normal 12 2" xfId="14" xr:uid="{00000000-0005-0000-0000-00000C000000}"/>
    <cellStyle name="Normal 12 3" xfId="15" xr:uid="{00000000-0005-0000-0000-00000D000000}"/>
    <cellStyle name="Normal 12 4" xfId="16" xr:uid="{00000000-0005-0000-0000-00000E000000}"/>
    <cellStyle name="Normal 13" xfId="17" xr:uid="{00000000-0005-0000-0000-00000F000000}"/>
    <cellStyle name="Normal 13 2" xfId="18" xr:uid="{00000000-0005-0000-0000-000010000000}"/>
    <cellStyle name="Normal 13 3" xfId="19" xr:uid="{00000000-0005-0000-0000-000011000000}"/>
    <cellStyle name="Normal 13 4" xfId="20" xr:uid="{00000000-0005-0000-0000-000012000000}"/>
    <cellStyle name="Normal 14" xfId="21" xr:uid="{00000000-0005-0000-0000-000013000000}"/>
    <cellStyle name="Normal 14 2" xfId="22" xr:uid="{00000000-0005-0000-0000-000014000000}"/>
    <cellStyle name="Normal 14 3" xfId="23" xr:uid="{00000000-0005-0000-0000-000015000000}"/>
    <cellStyle name="Normal 14 4" xfId="24" xr:uid="{00000000-0005-0000-0000-000016000000}"/>
    <cellStyle name="Normal 15" xfId="25" xr:uid="{00000000-0005-0000-0000-000017000000}"/>
    <cellStyle name="Normal 15 2" xfId="26" xr:uid="{00000000-0005-0000-0000-000018000000}"/>
    <cellStyle name="Normal 15 3" xfId="27" xr:uid="{00000000-0005-0000-0000-000019000000}"/>
    <cellStyle name="Normal 15 4" xfId="28" xr:uid="{00000000-0005-0000-0000-00001A000000}"/>
    <cellStyle name="Normal 16" xfId="29" xr:uid="{00000000-0005-0000-0000-00001B000000}"/>
    <cellStyle name="Normal 16 2" xfId="30" xr:uid="{00000000-0005-0000-0000-00001C000000}"/>
    <cellStyle name="Normal 16 3" xfId="31" xr:uid="{00000000-0005-0000-0000-00001D000000}"/>
    <cellStyle name="Normal 16 4" xfId="32" xr:uid="{00000000-0005-0000-0000-00001E000000}"/>
    <cellStyle name="Normal 17" xfId="33" xr:uid="{00000000-0005-0000-0000-00001F000000}"/>
    <cellStyle name="Normal 17 2" xfId="34" xr:uid="{00000000-0005-0000-0000-000020000000}"/>
    <cellStyle name="Normal 17 3" xfId="35" xr:uid="{00000000-0005-0000-0000-000021000000}"/>
    <cellStyle name="Normal 17 4" xfId="36" xr:uid="{00000000-0005-0000-0000-000022000000}"/>
    <cellStyle name="Normal 18" xfId="37" xr:uid="{00000000-0005-0000-0000-000023000000}"/>
    <cellStyle name="Normal 18 2" xfId="38" xr:uid="{00000000-0005-0000-0000-000024000000}"/>
    <cellStyle name="Normal 18 3" xfId="39" xr:uid="{00000000-0005-0000-0000-000025000000}"/>
    <cellStyle name="Normal 18 4" xfId="40" xr:uid="{00000000-0005-0000-0000-000026000000}"/>
    <cellStyle name="Normal 19" xfId="41" xr:uid="{00000000-0005-0000-0000-000027000000}"/>
    <cellStyle name="Normal 19 2" xfId="42" xr:uid="{00000000-0005-0000-0000-000028000000}"/>
    <cellStyle name="Normal 19 3" xfId="43" xr:uid="{00000000-0005-0000-0000-000029000000}"/>
    <cellStyle name="Normal 19 4" xfId="44" xr:uid="{00000000-0005-0000-0000-00002A000000}"/>
    <cellStyle name="Normal 2" xfId="2" xr:uid="{00000000-0005-0000-0000-00002B000000}"/>
    <cellStyle name="Normal 2 10" xfId="84" xr:uid="{00000000-0005-0000-0000-00002C000000}"/>
    <cellStyle name="Normal 2 11" xfId="85" xr:uid="{00000000-0005-0000-0000-00002D000000}"/>
    <cellStyle name="Normal 2 2" xfId="45" xr:uid="{00000000-0005-0000-0000-00002E000000}"/>
    <cellStyle name="Normal 2 3" xfId="46" xr:uid="{00000000-0005-0000-0000-00002F000000}"/>
    <cellStyle name="Normal 2 4" xfId="47" xr:uid="{00000000-0005-0000-0000-000030000000}"/>
    <cellStyle name="Normal 2 5" xfId="86" xr:uid="{00000000-0005-0000-0000-000031000000}"/>
    <cellStyle name="Normal 2 6" xfId="87" xr:uid="{00000000-0005-0000-0000-000032000000}"/>
    <cellStyle name="Normal 2 7" xfId="88" xr:uid="{00000000-0005-0000-0000-000033000000}"/>
    <cellStyle name="Normal 2 8" xfId="89" xr:uid="{00000000-0005-0000-0000-000034000000}"/>
    <cellStyle name="Normal 2 9" xfId="90" xr:uid="{00000000-0005-0000-0000-000035000000}"/>
    <cellStyle name="Normal 20" xfId="48" xr:uid="{00000000-0005-0000-0000-000036000000}"/>
    <cellStyle name="Normal 20 2" xfId="49" xr:uid="{00000000-0005-0000-0000-000037000000}"/>
    <cellStyle name="Normal 20 3" xfId="50" xr:uid="{00000000-0005-0000-0000-000038000000}"/>
    <cellStyle name="Normal 20 4" xfId="51" xr:uid="{00000000-0005-0000-0000-000039000000}"/>
    <cellStyle name="Normal 21" xfId="52" xr:uid="{00000000-0005-0000-0000-00003A000000}"/>
    <cellStyle name="Normal 21 2" xfId="53" xr:uid="{00000000-0005-0000-0000-00003B000000}"/>
    <cellStyle name="Normal 21 3" xfId="54" xr:uid="{00000000-0005-0000-0000-00003C000000}"/>
    <cellStyle name="Normal 21 4" xfId="55" xr:uid="{00000000-0005-0000-0000-00003D000000}"/>
    <cellStyle name="Normal 22" xfId="56" xr:uid="{00000000-0005-0000-0000-00003E000000}"/>
    <cellStyle name="Normal 23" xfId="57" xr:uid="{00000000-0005-0000-0000-00003F000000}"/>
    <cellStyle name="Normal 24" xfId="58" xr:uid="{00000000-0005-0000-0000-000040000000}"/>
    <cellStyle name="Normal 25" xfId="91" xr:uid="{00000000-0005-0000-0000-000041000000}"/>
    <cellStyle name="Normal 26" xfId="99" xr:uid="{00000000-0005-0000-0000-000042000000}"/>
    <cellStyle name="Normal 26 2" xfId="103" xr:uid="{00000000-0005-0000-0000-000043000000}"/>
    <cellStyle name="Normal 27" xfId="92" xr:uid="{00000000-0005-0000-0000-000044000000}"/>
    <cellStyle name="Normal 28" xfId="93" xr:uid="{00000000-0005-0000-0000-000045000000}"/>
    <cellStyle name="Normal 29" xfId="94" xr:uid="{00000000-0005-0000-0000-000046000000}"/>
    <cellStyle name="Normal 3" xfId="3" xr:uid="{00000000-0005-0000-0000-000047000000}"/>
    <cellStyle name="Normal 3 2" xfId="60" xr:uid="{00000000-0005-0000-0000-000048000000}"/>
    <cellStyle name="Normal 3 3" xfId="61" xr:uid="{00000000-0005-0000-0000-000049000000}"/>
    <cellStyle name="Normal 3 4" xfId="62" xr:uid="{00000000-0005-0000-0000-00004A000000}"/>
    <cellStyle name="Normal 3 5" xfId="59" xr:uid="{00000000-0005-0000-0000-00004B000000}"/>
    <cellStyle name="Normal 3 6" xfId="97" xr:uid="{00000000-0005-0000-0000-00004C000000}"/>
    <cellStyle name="Normal 3_Anexo C" xfId="83" xr:uid="{00000000-0005-0000-0000-00004D000000}"/>
    <cellStyle name="Normal 30" xfId="95" xr:uid="{00000000-0005-0000-0000-00004E000000}"/>
    <cellStyle name="Normal 31" xfId="101" xr:uid="{00000000-0005-0000-0000-00004F000000}"/>
    <cellStyle name="Normal 4" xfId="63" xr:uid="{00000000-0005-0000-0000-000050000000}"/>
    <cellStyle name="Normal 4 2" xfId="64" xr:uid="{00000000-0005-0000-0000-000051000000}"/>
    <cellStyle name="Normal 4 3" xfId="65" xr:uid="{00000000-0005-0000-0000-000052000000}"/>
    <cellStyle name="Normal 4 4" xfId="66" xr:uid="{00000000-0005-0000-0000-000053000000}"/>
    <cellStyle name="Normal 5" xfId="67" xr:uid="{00000000-0005-0000-0000-000054000000}"/>
    <cellStyle name="Normal 5 2" xfId="68" xr:uid="{00000000-0005-0000-0000-000055000000}"/>
    <cellStyle name="Normal 5 3" xfId="69" xr:uid="{00000000-0005-0000-0000-000056000000}"/>
    <cellStyle name="Normal 5 4" xfId="70" xr:uid="{00000000-0005-0000-0000-000057000000}"/>
    <cellStyle name="Normal 6" xfId="96" xr:uid="{00000000-0005-0000-0000-000058000000}"/>
    <cellStyle name="Normal 7" xfId="71" xr:uid="{00000000-0005-0000-0000-000059000000}"/>
    <cellStyle name="Normal 7 2" xfId="72" xr:uid="{00000000-0005-0000-0000-00005A000000}"/>
    <cellStyle name="Normal 7 3" xfId="73" xr:uid="{00000000-0005-0000-0000-00005B000000}"/>
    <cellStyle name="Normal 7 4" xfId="74" xr:uid="{00000000-0005-0000-0000-00005C000000}"/>
    <cellStyle name="Normal 8" xfId="75" xr:uid="{00000000-0005-0000-0000-00005D000000}"/>
    <cellStyle name="Normal 8 2" xfId="76" xr:uid="{00000000-0005-0000-0000-00005E000000}"/>
    <cellStyle name="Normal 8 3" xfId="77" xr:uid="{00000000-0005-0000-0000-00005F000000}"/>
    <cellStyle name="Normal 8 4" xfId="78" xr:uid="{00000000-0005-0000-0000-000060000000}"/>
    <cellStyle name="Normal 9" xfId="79" xr:uid="{00000000-0005-0000-0000-000061000000}"/>
    <cellStyle name="Normal 9 2" xfId="80" xr:uid="{00000000-0005-0000-0000-000062000000}"/>
    <cellStyle name="Normal 9 3" xfId="81" xr:uid="{00000000-0005-0000-0000-000063000000}"/>
    <cellStyle name="Normal 9 4" xfId="82" xr:uid="{00000000-0005-0000-0000-000064000000}"/>
    <cellStyle name="Note 2" xfId="4" xr:uid="{00000000-0005-0000-0000-000065000000}"/>
    <cellStyle name="Note 2 2" xfId="98" xr:uid="{00000000-0005-0000-0000-000066000000}"/>
    <cellStyle name="Note 3" xfId="102" xr:uid="{00000000-0005-0000-0000-000067000000}"/>
  </cellStyles>
  <dxfs count="3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38100</xdr:colOff>
      <xdr:row>2</xdr:row>
      <xdr:rowOff>519338</xdr:rowOff>
    </xdr:from>
    <xdr:to>
      <xdr:col>18</xdr:col>
      <xdr:colOff>2304973</xdr:colOff>
      <xdr:row>4</xdr:row>
      <xdr:rowOff>306613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DB23-7152-4373-AB80-E5FAEFDBD2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0399" b="31204"/>
        <a:stretch>
          <a:fillRect/>
        </a:stretch>
      </xdr:blipFill>
      <xdr:spPr>
        <a:xfrm>
          <a:off x="21704300" y="1700438"/>
          <a:ext cx="3105073" cy="11334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31749</xdr:colOff>
      <xdr:row>2</xdr:row>
      <xdr:rowOff>7636</xdr:rowOff>
    </xdr:from>
    <xdr:to>
      <xdr:col>12</xdr:col>
      <xdr:colOff>31750</xdr:colOff>
      <xdr:row>24</xdr:row>
      <xdr:rowOff>24755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78" t="27362" r="1200" b="14962"/>
        <a:stretch/>
      </xdr:blipFill>
      <xdr:spPr bwMode="auto">
        <a:xfrm>
          <a:off x="8233832" y="367469"/>
          <a:ext cx="4519085" cy="4038786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%20MTD%20GEOTECNIA%2019%20SET%20SG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o gral"/>
      <sheetName val="Clas. Activ. - Mant. Caminos"/>
      <sheetName val="Clas. Activ. - Geotecnia"/>
      <sheetName val="IPER- Mant. Caminos"/>
      <sheetName val="IPER-Ob. Geo. Mantenimiento"/>
      <sheetName val="IPER-Ob. Geo. Puntuales"/>
      <sheetName val="Analisis de Procesos Resumen"/>
      <sheetName val="IAEI"/>
      <sheetName val="Base de Datos AP"/>
      <sheetName val="Análisis1"/>
      <sheetName val="Análisis1 (2)"/>
      <sheetName val="Análisis1 (3)"/>
      <sheetName val="Análisis1 (4)"/>
      <sheetName val="Análisis1 (5)"/>
      <sheetName val="Análisis1 (6)"/>
      <sheetName val="Análisis1 (7)"/>
      <sheetName val="Análisis1 (8)"/>
      <sheetName val="Análisis1 (9)"/>
      <sheetName val="Análisis1 (10)"/>
      <sheetName val="Análisis2"/>
      <sheetName val="Análisis2 (2)"/>
      <sheetName val="Análisis2 (3)"/>
      <sheetName val="Análisis2 (4)"/>
      <sheetName val="Análisis2 (5)"/>
      <sheetName val="Análisis2 (6)"/>
      <sheetName val="Análisis2 (7)"/>
      <sheetName val="Análisis2 (8)"/>
      <sheetName val="Análisis2 (9)"/>
      <sheetName val="Análisis2 (10)"/>
      <sheetName val="Análisis2 (11)"/>
      <sheetName val="Análisis2 (12)"/>
      <sheetName val="Análisis2 (13)"/>
      <sheetName val="Análisis2 (14)"/>
      <sheetName val="Análisis2 (15)"/>
      <sheetName val="Análisis2 (16)"/>
      <sheetName val="Análisis3"/>
      <sheetName val="Análisis3 (2)"/>
      <sheetName val="Análisis3 (3)"/>
      <sheetName val="Análisis3 (4)"/>
      <sheetName val="Análisis3 (5)"/>
      <sheetName val="Análisis3 (6)"/>
      <sheetName val="Análisis3 (7)"/>
      <sheetName val="Análisis3 (8)"/>
      <sheetName val="Análisis3 (9)"/>
      <sheetName val="Análisis3(10)"/>
      <sheetName val="Análisis3 (11)"/>
      <sheetName val="Análisis3 (12)"/>
      <sheetName val="Análisis3 (13)"/>
      <sheetName val="Análisis3 (14)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C2" t="str">
            <v xml:space="preserve">Agua </v>
          </cell>
        </row>
        <row r="3">
          <cell r="C3" t="str">
            <v>Combustible</v>
          </cell>
        </row>
        <row r="4">
          <cell r="C4" t="str">
            <v>Energía Eléctrica</v>
          </cell>
        </row>
        <row r="5">
          <cell r="C5" t="str">
            <v>Agregados</v>
          </cell>
        </row>
        <row r="6">
          <cell r="C6" t="str">
            <v>Agropol</v>
          </cell>
        </row>
        <row r="7">
          <cell r="C7" t="str">
            <v>Alcantarilla</v>
          </cell>
        </row>
        <row r="8">
          <cell r="C8" t="str">
            <v>Alambre Galvanizado</v>
          </cell>
        </row>
        <row r="9">
          <cell r="C9" t="str">
            <v>Accesorios de instalaciones sanitarias</v>
          </cell>
        </row>
        <row r="10">
          <cell r="C10" t="str">
            <v xml:space="preserve">Cal </v>
          </cell>
        </row>
        <row r="11">
          <cell r="C11" t="str">
            <v>Cemento</v>
          </cell>
        </row>
        <row r="12">
          <cell r="C12" t="str">
            <v>Cables electricos</v>
          </cell>
        </row>
        <row r="13">
          <cell r="C13" t="str">
            <v xml:space="preserve">Clavos </v>
          </cell>
        </row>
        <row r="14">
          <cell r="C14" t="str">
            <v>Colchoneta Reno</v>
          </cell>
        </row>
        <row r="15">
          <cell r="C15" t="str">
            <v>Ecomatrix, Yute</v>
          </cell>
        </row>
        <row r="16">
          <cell r="C16" t="str">
            <v xml:space="preserve">Fertilizantes </v>
          </cell>
        </row>
        <row r="17">
          <cell r="C17" t="str">
            <v>Fierro de construcción</v>
          </cell>
        </row>
        <row r="18">
          <cell r="C18" t="str">
            <v>Filtro Geodrén</v>
          </cell>
        </row>
        <row r="19">
          <cell r="C19" t="str">
            <v>Gaviones</v>
          </cell>
        </row>
        <row r="20">
          <cell r="C20" t="str">
            <v>Geotextil</v>
          </cell>
        </row>
        <row r="21">
          <cell r="C21" t="str">
            <v>Luminarias y accesorios eléctricos</v>
          </cell>
        </row>
        <row r="22">
          <cell r="C22" t="str">
            <v>Madera</v>
          </cell>
        </row>
        <row r="23">
          <cell r="C23" t="str">
            <v>Malla electro soldada</v>
          </cell>
        </row>
        <row r="24">
          <cell r="C24" t="str">
            <v>Material de prestamo de cantera</v>
          </cell>
        </row>
        <row r="25">
          <cell r="C25" t="str">
            <v>Rafia</v>
          </cell>
        </row>
        <row r="26">
          <cell r="C26" t="str">
            <v>Sacos de Polipropileno</v>
          </cell>
        </row>
        <row r="27">
          <cell r="C27" t="str">
            <v>Semilla</v>
          </cell>
        </row>
        <row r="28">
          <cell r="C28" t="str">
            <v>Soldadura</v>
          </cell>
        </row>
        <row r="29">
          <cell r="C29" t="str">
            <v>Tubería de PVC</v>
          </cell>
        </row>
        <row r="30">
          <cell r="C30" t="str">
            <v>Tubería metálica</v>
          </cell>
        </row>
        <row r="31">
          <cell r="C31" t="str">
            <v>Bus 20s</v>
          </cell>
        </row>
        <row r="32">
          <cell r="C32" t="str">
            <v>Cama Baja</v>
          </cell>
        </row>
        <row r="33">
          <cell r="C33" t="str">
            <v>Cámara Fotográfica / Filmadora / Teléfono / GPS / Laptop</v>
          </cell>
        </row>
        <row r="34">
          <cell r="C34" t="str">
            <v>Camioneta</v>
          </cell>
        </row>
        <row r="35">
          <cell r="C35" t="str">
            <v>Cargador Frontal</v>
          </cell>
        </row>
        <row r="36">
          <cell r="C36" t="str">
            <v>Cisterna</v>
          </cell>
        </row>
        <row r="37">
          <cell r="C37" t="str">
            <v>D8/D6</v>
          </cell>
        </row>
        <row r="38">
          <cell r="C38" t="str">
            <v>Equipo de perforación</v>
          </cell>
        </row>
        <row r="39">
          <cell r="C39" t="str">
            <v>Equipo de perforación</v>
          </cell>
        </row>
        <row r="40">
          <cell r="C40" t="str">
            <v xml:space="preserve">Equipo de Seguridad Personal </v>
          </cell>
        </row>
        <row r="41">
          <cell r="C41" t="str">
            <v>Equipo de Soldadura / Oxicorte</v>
          </cell>
        </row>
        <row r="42">
          <cell r="C42" t="str">
            <v>Equipo Topográfico</v>
          </cell>
        </row>
        <row r="43">
          <cell r="C43" t="str">
            <v>Excavadora</v>
          </cell>
        </row>
        <row r="44">
          <cell r="C44" t="str">
            <v>Generador</v>
          </cell>
        </row>
        <row r="45">
          <cell r="C45" t="str">
            <v>Helicóptero</v>
          </cell>
        </row>
        <row r="46">
          <cell r="C46" t="str">
            <v>Herramienta Manuales</v>
          </cell>
        </row>
        <row r="47">
          <cell r="C47" t="str">
            <v>Mezcladora de concreto</v>
          </cell>
        </row>
        <row r="48">
          <cell r="C48" t="str">
            <v>Motoniveladora</v>
          </cell>
        </row>
        <row r="49">
          <cell r="C49" t="str">
            <v>Montacarga / Hidrogrua</v>
          </cell>
        </row>
        <row r="50">
          <cell r="C50" t="str">
            <v>Motobomba</v>
          </cell>
        </row>
        <row r="51">
          <cell r="C51" t="str">
            <v>Moto guadañadora</v>
          </cell>
        </row>
        <row r="52">
          <cell r="C52" t="str">
            <v>Motosierra</v>
          </cell>
        </row>
        <row r="53">
          <cell r="C53" t="str">
            <v>Radio comunicación</v>
          </cell>
        </row>
        <row r="54">
          <cell r="C54" t="str">
            <v>Vibrocompactador</v>
          </cell>
        </row>
        <row r="55">
          <cell r="C55" t="str">
            <v>Volquete</v>
          </cell>
        </row>
        <row r="56">
          <cell r="C56" t="str">
            <v>Auditores / Fiscalizadores</v>
          </cell>
        </row>
        <row r="57">
          <cell r="C57" t="str">
            <v>Ayudantes</v>
          </cell>
        </row>
        <row r="58">
          <cell r="C58" t="str">
            <v>Capataz</v>
          </cell>
        </row>
        <row r="59">
          <cell r="C59" t="str">
            <v>Cargo Master</v>
          </cell>
        </row>
        <row r="60">
          <cell r="C60" t="str">
            <v>Chofer</v>
          </cell>
        </row>
        <row r="61">
          <cell r="C61" t="str">
            <v>Enfermero</v>
          </cell>
        </row>
        <row r="62">
          <cell r="C62" t="str">
            <v>Motosierrista</v>
          </cell>
        </row>
        <row r="63">
          <cell r="C63" t="str">
            <v>Oficial</v>
          </cell>
        </row>
        <row r="64">
          <cell r="C64" t="str">
            <v xml:space="preserve">Operador Múltiple </v>
          </cell>
        </row>
        <row r="65">
          <cell r="C65" t="str">
            <v>Operario Geotecnia</v>
          </cell>
        </row>
        <row r="66">
          <cell r="C66" t="str">
            <v>Pilotos</v>
          </cell>
        </row>
        <row r="67">
          <cell r="C67" t="str">
            <v>Prevencionista</v>
          </cell>
        </row>
        <row r="68">
          <cell r="C68" t="str">
            <v>Soldador</v>
          </cell>
        </row>
        <row r="69">
          <cell r="C69" t="str">
            <v>Supervisor</v>
          </cell>
        </row>
        <row r="70">
          <cell r="C70" t="str">
            <v>PTS</v>
          </cell>
        </row>
        <row r="71">
          <cell r="C71" t="str">
            <v>AST</v>
          </cell>
        </row>
        <row r="72">
          <cell r="C72" t="str">
            <v>Reunión Previa</v>
          </cell>
        </row>
        <row r="73">
          <cell r="C73" t="str">
            <v>Plan de Trabajo</v>
          </cell>
        </row>
        <row r="74">
          <cell r="C74" t="str">
            <v>DDV</v>
          </cell>
        </row>
        <row r="75">
          <cell r="C75" t="str">
            <v>Pista Camino / Carreteras / accesos</v>
          </cell>
        </row>
        <row r="76">
          <cell r="C76" t="str">
            <v>Zona  con buena iluminación</v>
          </cell>
        </row>
        <row r="77">
          <cell r="C77" t="str">
            <v>Tiempo climatológico óptimo</v>
          </cell>
        </row>
        <row r="78">
          <cell r="C78" t="str">
            <v>Centros Poblados</v>
          </cell>
        </row>
        <row r="79">
          <cell r="C79" t="str">
            <v xml:space="preserve"> Construcción de Cortacorrientes / Descoles /Canales</v>
          </cell>
        </row>
        <row r="80">
          <cell r="C80" t="str">
            <v>Carretera en buen estado</v>
          </cell>
        </row>
        <row r="81">
          <cell r="C81" t="str">
            <v>Control de aguas en carretera</v>
          </cell>
        </row>
        <row r="82">
          <cell r="C82" t="str">
            <v>Habilitación de zona de hospedaje del personal de campo</v>
          </cell>
        </row>
        <row r="83">
          <cell r="C83" t="str">
            <v>Drenaje</v>
          </cell>
        </row>
        <row r="84">
          <cell r="C84" t="str">
            <v>Desmovilización</v>
          </cell>
        </row>
        <row r="85">
          <cell r="C85" t="str">
            <v>Estabilización de Taludes</v>
          </cell>
        </row>
        <row r="86">
          <cell r="C86" t="str">
            <v>Evitar infiltración de aguas superficiales en zona del DDV</v>
          </cell>
        </row>
        <row r="87">
          <cell r="C87" t="str">
            <v>Identificación de zonas de trabajo</v>
          </cell>
        </row>
        <row r="88">
          <cell r="C88" t="str">
            <v>Limpieza de cortacorrientes, descoles y canales</v>
          </cell>
        </row>
        <row r="89">
          <cell r="C89" t="str">
            <v>Limpieza de cunetas y descoles</v>
          </cell>
        </row>
        <row r="90">
          <cell r="C90" t="str">
            <v>Mantenimiento de quebradas</v>
          </cell>
        </row>
        <row r="91">
          <cell r="C91" t="str">
            <v>Mayor Visibilidad en DDV</v>
          </cell>
        </row>
        <row r="92">
          <cell r="C92" t="str">
            <v>Mantenimiento de obras</v>
          </cell>
        </row>
        <row r="93">
          <cell r="C93" t="str">
            <v>Muro de contención</v>
          </cell>
        </row>
        <row r="94">
          <cell r="C94" t="str">
            <v>Protección en ríos y quebradas</v>
          </cell>
        </row>
        <row r="95">
          <cell r="C95" t="str">
            <v>Reparación de cortacorrientes, descoles y canales</v>
          </cell>
        </row>
        <row r="96">
          <cell r="C96" t="str">
            <v>Revegetación</v>
          </cell>
        </row>
        <row r="97">
          <cell r="C97" t="str">
            <v>Movilización a la zona de trabajo</v>
          </cell>
        </row>
        <row r="98">
          <cell r="C98" t="str">
            <v>Terrazas</v>
          </cell>
        </row>
        <row r="100">
          <cell r="C100" t="str">
            <v>Ruido</v>
          </cell>
        </row>
        <row r="101">
          <cell r="C101" t="str">
            <v>Gases Industriales</v>
          </cell>
        </row>
        <row r="102">
          <cell r="C102" t="str">
            <v>Material Particulado ( Polvo )</v>
          </cell>
        </row>
        <row r="103">
          <cell r="C103" t="str">
            <v>Alimentos</v>
          </cell>
        </row>
        <row r="104">
          <cell r="C104" t="str">
            <v>Desmoste de Construcción</v>
          </cell>
        </row>
        <row r="105">
          <cell r="C105" t="str">
            <v>Metales / Chatarra</v>
          </cell>
        </row>
        <row r="106">
          <cell r="C106" t="str">
            <v>Papeles, Cartón</v>
          </cell>
        </row>
        <row r="107">
          <cell r="C107" t="str">
            <v>Pilas / Baterías</v>
          </cell>
        </row>
        <row r="108">
          <cell r="C108" t="str">
            <v>Plásticos</v>
          </cell>
        </row>
        <row r="109">
          <cell r="C109" t="str">
            <v>Recipiente con elementos industriales</v>
          </cell>
        </row>
        <row r="110">
          <cell r="C110" t="str">
            <v xml:space="preserve">Tierra contaminada </v>
          </cell>
        </row>
        <row r="111">
          <cell r="C111" t="str">
            <v>Trapos / Paños absorbentes / Guantes</v>
          </cell>
        </row>
        <row r="112">
          <cell r="C112" t="str">
            <v>Aceites / Grasas / Combustible</v>
          </cell>
        </row>
        <row r="113">
          <cell r="C113" t="str">
            <v>Efluentes líquidos domésticos producidos</v>
          </cell>
        </row>
        <row r="114">
          <cell r="C114" t="str">
            <v>Aguas Servidas</v>
          </cell>
        </row>
        <row r="115">
          <cell r="C115" t="str">
            <v>Bloqueos de  carreteras</v>
          </cell>
        </row>
        <row r="116">
          <cell r="C116" t="str">
            <v>Ruido generado</v>
          </cell>
        </row>
        <row r="117">
          <cell r="C117" t="str">
            <v>Calor generado o emitido</v>
          </cell>
        </row>
        <row r="118">
          <cell r="C118" t="str">
            <v>Paralizaciones de trabajos</v>
          </cell>
        </row>
        <row r="119">
          <cell r="C119" t="str">
            <v>Accidente Aéreo</v>
          </cell>
        </row>
        <row r="120">
          <cell r="C120" t="str">
            <v>Accidente Automovilístico</v>
          </cell>
        </row>
        <row r="121">
          <cell r="C121" t="str">
            <v>Derrames</v>
          </cell>
        </row>
        <row r="122">
          <cell r="C122" t="str">
            <v>Explosiones</v>
          </cell>
        </row>
        <row r="123">
          <cell r="C123" t="str">
            <v>Huaycos/Riadas/Deslizamientos</v>
          </cell>
        </row>
        <row r="124">
          <cell r="C124" t="str">
            <v>Incendios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22"/>
  <sheetViews>
    <sheetView tabSelected="1" topLeftCell="A2" zoomScale="40" zoomScaleNormal="40" workbookViewId="0">
      <selection activeCell="I35" sqref="I35"/>
    </sheetView>
  </sheetViews>
  <sheetFormatPr baseColWidth="10" defaultColWidth="9.1796875" defaultRowHeight="12.5"/>
  <cols>
    <col min="1" max="1" width="2.26953125" style="9" customWidth="1"/>
    <col min="2" max="2" width="13.54296875" style="9" customWidth="1"/>
    <col min="3" max="3" width="25.7265625" style="10" customWidth="1"/>
    <col min="4" max="4" width="18.54296875" style="10" customWidth="1"/>
    <col min="5" max="5" width="24.81640625" style="53" customWidth="1"/>
    <col min="6" max="6" width="35.54296875" style="9" customWidth="1"/>
    <col min="7" max="8" width="9.1796875" style="9"/>
    <col min="9" max="10" width="9.81640625" style="9" customWidth="1"/>
    <col min="11" max="11" width="49.7265625" style="9" customWidth="1"/>
    <col min="12" max="12" width="39.453125" style="9" customWidth="1"/>
    <col min="13" max="13" width="16.7265625" style="9" bestFit="1" customWidth="1"/>
    <col min="14" max="14" width="14.453125" style="9" customWidth="1"/>
    <col min="15" max="16" width="9.1796875" style="9"/>
    <col min="17" max="18" width="12" style="9" customWidth="1"/>
    <col min="19" max="19" width="38.26953125" style="9" customWidth="1"/>
    <col min="20" max="16384" width="9.1796875" style="9"/>
  </cols>
  <sheetData>
    <row r="1" spans="2:19" ht="13" thickBot="1"/>
    <row r="2" spans="2:19" ht="79.5" customHeight="1" thickBot="1">
      <c r="B2" s="113" t="s">
        <v>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5"/>
    </row>
    <row r="3" spans="2:19" ht="52.5" customHeight="1">
      <c r="B3" s="69"/>
      <c r="C3" s="116" t="s">
        <v>161</v>
      </c>
      <c r="D3" s="116"/>
      <c r="E3" s="119" t="s">
        <v>168</v>
      </c>
      <c r="F3" s="119"/>
      <c r="G3" s="119"/>
      <c r="H3" s="119"/>
      <c r="I3" s="119"/>
      <c r="J3" s="119"/>
      <c r="K3" s="119"/>
      <c r="L3" s="70"/>
      <c r="M3" s="70"/>
      <c r="N3" s="70"/>
      <c r="O3" s="70"/>
      <c r="P3" s="70"/>
      <c r="Q3" s="70"/>
      <c r="R3" s="70"/>
      <c r="S3" s="71"/>
    </row>
    <row r="4" spans="2:19" ht="52.5" customHeight="1">
      <c r="B4" s="72"/>
      <c r="C4" s="117" t="s">
        <v>164</v>
      </c>
      <c r="D4" s="117"/>
      <c r="E4" s="120" t="s">
        <v>165</v>
      </c>
      <c r="F4" s="120"/>
      <c r="G4" s="120"/>
      <c r="H4" s="120"/>
      <c r="I4" s="120"/>
      <c r="J4" s="120"/>
      <c r="K4" s="120"/>
      <c r="L4" s="73"/>
      <c r="M4" s="73"/>
      <c r="N4" s="73"/>
      <c r="O4" s="73"/>
      <c r="P4" s="73"/>
      <c r="Q4" s="73"/>
      <c r="R4" s="73"/>
      <c r="S4" s="74"/>
    </row>
    <row r="5" spans="2:19" ht="52.5" customHeight="1">
      <c r="B5" s="72"/>
      <c r="C5" s="118" t="s">
        <v>166</v>
      </c>
      <c r="D5" s="118"/>
      <c r="E5" s="120" t="s">
        <v>167</v>
      </c>
      <c r="F5" s="120"/>
      <c r="G5" s="120"/>
      <c r="H5" s="120"/>
      <c r="I5" s="120"/>
      <c r="J5" s="120"/>
      <c r="K5" s="120"/>
      <c r="L5" s="73"/>
      <c r="M5" s="73"/>
      <c r="N5" s="73"/>
      <c r="O5" s="73"/>
      <c r="P5" s="73"/>
      <c r="Q5" s="73"/>
      <c r="R5" s="73"/>
      <c r="S5" s="74"/>
    </row>
    <row r="6" spans="2:19" ht="25.5" customHeight="1">
      <c r="B6" s="72"/>
      <c r="C6" s="75"/>
      <c r="D6" s="75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4"/>
    </row>
    <row r="7" spans="2:19" ht="38.25" customHeight="1" thickBot="1">
      <c r="B7" s="125" t="s">
        <v>1</v>
      </c>
      <c r="C7" s="125" t="s">
        <v>2</v>
      </c>
      <c r="D7" s="125" t="s">
        <v>3</v>
      </c>
      <c r="E7" s="125" t="s">
        <v>4</v>
      </c>
      <c r="F7" s="127" t="s">
        <v>5</v>
      </c>
      <c r="G7" s="125" t="s">
        <v>6</v>
      </c>
      <c r="H7" s="125" t="s">
        <v>7</v>
      </c>
      <c r="I7" s="121" t="s">
        <v>8</v>
      </c>
      <c r="J7" s="122"/>
      <c r="K7" s="125" t="s">
        <v>9</v>
      </c>
      <c r="L7" s="125" t="s">
        <v>10</v>
      </c>
      <c r="M7" s="125" t="s">
        <v>11</v>
      </c>
      <c r="N7" s="125" t="s">
        <v>12</v>
      </c>
      <c r="O7" s="125" t="s">
        <v>6</v>
      </c>
      <c r="P7" s="125" t="s">
        <v>7</v>
      </c>
      <c r="Q7" s="123" t="s">
        <v>13</v>
      </c>
      <c r="R7" s="124"/>
      <c r="S7" s="125" t="s">
        <v>14</v>
      </c>
    </row>
    <row r="8" spans="2:19" ht="24" customHeight="1" thickBot="1">
      <c r="B8" s="126"/>
      <c r="C8" s="125"/>
      <c r="D8" s="125"/>
      <c r="E8" s="125"/>
      <c r="F8" s="125"/>
      <c r="G8" s="125"/>
      <c r="H8" s="125"/>
      <c r="I8" s="78" t="s">
        <v>15</v>
      </c>
      <c r="J8" s="79" t="s">
        <v>16</v>
      </c>
      <c r="K8" s="125"/>
      <c r="L8" s="125"/>
      <c r="M8" s="126"/>
      <c r="N8" s="125"/>
      <c r="O8" s="125"/>
      <c r="P8" s="125"/>
      <c r="Q8" s="11" t="s">
        <v>15</v>
      </c>
      <c r="R8" s="12" t="s">
        <v>16</v>
      </c>
      <c r="S8" s="125"/>
    </row>
    <row r="9" spans="2:19" ht="115.5" customHeight="1" thickBot="1">
      <c r="B9" s="131" t="s">
        <v>209</v>
      </c>
      <c r="C9" s="133" t="s">
        <v>170</v>
      </c>
      <c r="D9" s="100" t="s">
        <v>171</v>
      </c>
      <c r="E9" s="81" t="s">
        <v>175</v>
      </c>
      <c r="F9" s="80" t="s">
        <v>177</v>
      </c>
      <c r="G9" s="81">
        <v>2</v>
      </c>
      <c r="H9" s="81">
        <v>3</v>
      </c>
      <c r="I9" s="76">
        <f>+G9*H9</f>
        <v>6</v>
      </c>
      <c r="J9" s="64" t="str">
        <f t="shared" ref="J9:J21" si="0">IF(I9="","",IF(I9&lt;=3,"BAJO",IF(I9&lt;=8,"MEDIO",IF(I9&lt;=20,"ALTO"))))</f>
        <v>MEDIO</v>
      </c>
      <c r="K9" s="94" t="s">
        <v>186</v>
      </c>
      <c r="L9" s="139" t="s">
        <v>169</v>
      </c>
      <c r="M9" s="57" t="s">
        <v>163</v>
      </c>
      <c r="N9" s="86">
        <v>45971</v>
      </c>
      <c r="O9" s="51">
        <v>3</v>
      </c>
      <c r="P9" s="51">
        <v>1</v>
      </c>
      <c r="Q9" s="51">
        <f>+O9*P9</f>
        <v>3</v>
      </c>
      <c r="R9" s="45" t="str">
        <f t="shared" ref="R9" si="1">IF(Q9="","",IF(Q9&lt;=3,"BAJO",IF(Q9&lt;=8,"MEDIO",IF(Q9&lt;=20,"ALTO"))))</f>
        <v>BAJO</v>
      </c>
      <c r="S9" s="48" t="str">
        <f t="shared" ref="S9:S21" si="2">IF(Q9="","",IF(Q9&lt;=1,"Coordinador / Supervisor",IF(Q9&lt;=3,"Jefes de División / Area / Sector",IF(Q9&lt;=5,"Gerente de Yacimiento / Operaciones",IF(Q9&lt;=8,"Gerente Regional",IF(Q9&lt;=15,"Director Global De Operaciones / 
Director De Exploracion Y Desarrollo",IF(Q9&lt;=20,"Director General De Tecpetrol E&amp;P")))))))</f>
        <v>Jefes de División / Area / Sector</v>
      </c>
    </row>
    <row r="10" spans="2:19" ht="69.75" customHeight="1" thickBot="1">
      <c r="B10" s="132"/>
      <c r="C10" s="134"/>
      <c r="D10" s="104" t="s">
        <v>172</v>
      </c>
      <c r="E10" s="101" t="s">
        <v>176</v>
      </c>
      <c r="F10" s="80" t="s">
        <v>173</v>
      </c>
      <c r="G10" s="81">
        <v>2</v>
      </c>
      <c r="H10" s="81">
        <v>2</v>
      </c>
      <c r="I10" s="58">
        <f t="shared" ref="I10:I21" si="3">+G10*H10</f>
        <v>4</v>
      </c>
      <c r="J10" s="46" t="str">
        <f t="shared" si="0"/>
        <v>MEDIO</v>
      </c>
      <c r="K10" s="80" t="s">
        <v>213</v>
      </c>
      <c r="L10" s="140"/>
      <c r="M10" s="57" t="s">
        <v>163</v>
      </c>
      <c r="N10" s="87">
        <v>45971</v>
      </c>
      <c r="O10" s="51">
        <v>2</v>
      </c>
      <c r="P10" s="51">
        <v>1</v>
      </c>
      <c r="Q10" s="63">
        <f t="shared" ref="Q10:Q21" si="4">+O10*P10</f>
        <v>2</v>
      </c>
      <c r="R10" s="47" t="str">
        <f t="shared" ref="R10:R21" si="5">IF(Q10="","",IF(Q10&lt;=3,"BAJO",IF(Q10&lt;=8,"MEDIO",IF(Q10&lt;=20,"ALTO"))))</f>
        <v>BAJO</v>
      </c>
      <c r="S10" s="49" t="str">
        <f t="shared" si="2"/>
        <v>Jefes de División / Area / Sector</v>
      </c>
    </row>
    <row r="11" spans="2:19" ht="73.5" customHeight="1" thickBot="1">
      <c r="B11" s="132"/>
      <c r="C11" s="134"/>
      <c r="D11" s="105" t="s">
        <v>22</v>
      </c>
      <c r="E11" s="80" t="s">
        <v>178</v>
      </c>
      <c r="F11" s="80" t="s">
        <v>179</v>
      </c>
      <c r="G11" s="98">
        <v>3</v>
      </c>
      <c r="H11" s="60">
        <v>2</v>
      </c>
      <c r="I11" s="58">
        <f t="shared" si="3"/>
        <v>6</v>
      </c>
      <c r="J11" s="46" t="str">
        <f t="shared" si="0"/>
        <v>MEDIO</v>
      </c>
      <c r="K11" s="80" t="s">
        <v>212</v>
      </c>
      <c r="L11" s="140"/>
      <c r="M11" s="57" t="s">
        <v>163</v>
      </c>
      <c r="N11" s="88">
        <v>45971</v>
      </c>
      <c r="O11" s="51">
        <v>2</v>
      </c>
      <c r="P11" s="51">
        <v>1</v>
      </c>
      <c r="Q11" s="52">
        <f t="shared" si="4"/>
        <v>2</v>
      </c>
      <c r="R11" s="46" t="str">
        <f>IF(Q11="","",IF(Q11&lt;=3,"BAJO",IF(Q11&lt;=8,"MEDIO",IF(Q11&lt;=20,"ALTO"))))</f>
        <v>BAJO</v>
      </c>
      <c r="S11" s="50" t="str">
        <f t="shared" ref="S11" si="6">IF(Q11="","",IF(Q11&lt;=1,"Coordinador / Supervisor",IF(Q11&lt;=3,"Jefes de División / Area / Sector",IF(Q11&lt;=5,"Gerente de Yacimiento / Operaciones",IF(Q11&lt;=8,"Gerente Regional",IF(Q11&lt;=15,"Director Global De Operaciones / 
Director De Exploracion Y Desarrollo",IF(Q11&lt;=20,"Director General De Tecpetrol E&amp;P")))))))</f>
        <v>Jefes de División / Area / Sector</v>
      </c>
    </row>
    <row r="12" spans="2:19" ht="159.75" customHeight="1" thickBot="1">
      <c r="B12" s="132"/>
      <c r="C12" s="134"/>
      <c r="D12" s="106" t="s">
        <v>181</v>
      </c>
      <c r="E12" s="102" t="s">
        <v>180</v>
      </c>
      <c r="F12" s="80" t="s">
        <v>182</v>
      </c>
      <c r="G12" s="98">
        <v>2</v>
      </c>
      <c r="H12" s="60">
        <v>3</v>
      </c>
      <c r="I12" s="58">
        <f t="shared" si="3"/>
        <v>6</v>
      </c>
      <c r="J12" s="46" t="str">
        <f t="shared" si="0"/>
        <v>MEDIO</v>
      </c>
      <c r="K12" s="80" t="s">
        <v>187</v>
      </c>
      <c r="L12" s="140"/>
      <c r="M12" s="57" t="s">
        <v>163</v>
      </c>
      <c r="N12" s="88">
        <v>45971</v>
      </c>
      <c r="O12" s="51">
        <v>2</v>
      </c>
      <c r="P12" s="51">
        <v>1</v>
      </c>
      <c r="Q12" s="63">
        <f t="shared" si="4"/>
        <v>2</v>
      </c>
      <c r="R12" s="46" t="str">
        <f>IF(Q12="","",IF(Q12&lt;=3,"BAJO",IF(Q12&lt;=8,"MEDIO",IF(Q12&lt;=20,"ALTO"))))</f>
        <v>BAJO</v>
      </c>
      <c r="S12" s="50" t="str">
        <f t="shared" si="2"/>
        <v>Jefes de División / Area / Sector</v>
      </c>
    </row>
    <row r="13" spans="2:19" ht="106.5" customHeight="1" thickBot="1">
      <c r="B13" s="132"/>
      <c r="C13" s="134"/>
      <c r="D13" s="97" t="s">
        <v>183</v>
      </c>
      <c r="E13" s="85" t="s">
        <v>22</v>
      </c>
      <c r="F13" s="55" t="s">
        <v>184</v>
      </c>
      <c r="G13" s="98">
        <v>2</v>
      </c>
      <c r="H13" s="60">
        <v>2</v>
      </c>
      <c r="I13" s="58">
        <f t="shared" si="3"/>
        <v>4</v>
      </c>
      <c r="J13" s="46" t="str">
        <f t="shared" si="0"/>
        <v>MEDIO</v>
      </c>
      <c r="K13" s="82" t="s">
        <v>185</v>
      </c>
      <c r="L13" s="140"/>
      <c r="M13" s="57" t="s">
        <v>163</v>
      </c>
      <c r="N13" s="88">
        <v>45971</v>
      </c>
      <c r="O13" s="51">
        <v>2</v>
      </c>
      <c r="P13" s="51">
        <v>1</v>
      </c>
      <c r="Q13" s="52">
        <f t="shared" si="4"/>
        <v>2</v>
      </c>
      <c r="R13" s="46" t="str">
        <f>IF(Q13="","",IF(Q13&lt;=3,"BAJO",IF(Q13&lt;=8,"MEDIO",IF(Q13&lt;=20,"ALTO"))))</f>
        <v>BAJO</v>
      </c>
      <c r="S13" s="50" t="str">
        <f t="shared" si="2"/>
        <v>Jefes de División / Area / Sector</v>
      </c>
    </row>
    <row r="14" spans="2:19" ht="84.5" customHeight="1" thickBot="1">
      <c r="B14" s="132"/>
      <c r="C14" s="135"/>
      <c r="D14" s="107" t="s">
        <v>188</v>
      </c>
      <c r="E14" s="83" t="s">
        <v>190</v>
      </c>
      <c r="F14" s="82" t="s">
        <v>189</v>
      </c>
      <c r="G14" s="99">
        <v>3</v>
      </c>
      <c r="H14" s="61">
        <v>2</v>
      </c>
      <c r="I14" s="56">
        <f t="shared" si="3"/>
        <v>6</v>
      </c>
      <c r="J14" s="67" t="str">
        <f t="shared" si="0"/>
        <v>MEDIO</v>
      </c>
      <c r="K14" s="80" t="s">
        <v>215</v>
      </c>
      <c r="L14" s="140"/>
      <c r="M14" s="57" t="s">
        <v>163</v>
      </c>
      <c r="N14" s="89">
        <v>45971</v>
      </c>
      <c r="O14" s="51">
        <v>3</v>
      </c>
      <c r="P14" s="51">
        <v>1</v>
      </c>
      <c r="Q14" s="66">
        <f t="shared" si="4"/>
        <v>3</v>
      </c>
      <c r="R14" s="67" t="str">
        <f t="shared" si="5"/>
        <v>BAJO</v>
      </c>
      <c r="S14" s="50" t="s">
        <v>216</v>
      </c>
    </row>
    <row r="15" spans="2:19" ht="61.5" customHeight="1" thickBot="1">
      <c r="B15" s="132"/>
      <c r="C15" s="136" t="s">
        <v>174</v>
      </c>
      <c r="D15" s="107" t="s">
        <v>191</v>
      </c>
      <c r="E15" s="83" t="s">
        <v>192</v>
      </c>
      <c r="F15" s="95" t="s">
        <v>193</v>
      </c>
      <c r="G15" s="59">
        <v>2</v>
      </c>
      <c r="H15" s="59">
        <v>2</v>
      </c>
      <c r="I15" s="76">
        <f t="shared" si="3"/>
        <v>4</v>
      </c>
      <c r="J15" s="64" t="str">
        <f t="shared" si="0"/>
        <v>MEDIO</v>
      </c>
      <c r="K15" s="80" t="s">
        <v>214</v>
      </c>
      <c r="L15" s="140"/>
      <c r="M15" s="57" t="s">
        <v>163</v>
      </c>
      <c r="N15" s="86">
        <v>45971</v>
      </c>
      <c r="O15" s="59">
        <v>2</v>
      </c>
      <c r="P15" s="59">
        <v>1</v>
      </c>
      <c r="Q15" s="54">
        <f t="shared" si="4"/>
        <v>2</v>
      </c>
      <c r="R15" s="64" t="str">
        <f t="shared" si="5"/>
        <v>BAJO</v>
      </c>
      <c r="S15" s="50" t="str">
        <f t="shared" si="2"/>
        <v>Jefes de División / Area / Sector</v>
      </c>
    </row>
    <row r="16" spans="2:19" ht="63" customHeight="1" thickBot="1">
      <c r="B16" s="132"/>
      <c r="C16" s="137"/>
      <c r="D16" s="107" t="s">
        <v>171</v>
      </c>
      <c r="E16" s="82" t="s">
        <v>175</v>
      </c>
      <c r="F16" s="82" t="s">
        <v>194</v>
      </c>
      <c r="G16" s="60">
        <v>3</v>
      </c>
      <c r="H16" s="60">
        <v>2</v>
      </c>
      <c r="I16" s="58">
        <f t="shared" si="3"/>
        <v>6</v>
      </c>
      <c r="J16" s="64" t="str">
        <f t="shared" si="0"/>
        <v>MEDIO</v>
      </c>
      <c r="K16" s="92" t="s">
        <v>211</v>
      </c>
      <c r="L16" s="140"/>
      <c r="M16" s="57" t="s">
        <v>163</v>
      </c>
      <c r="N16" s="88">
        <v>45971</v>
      </c>
      <c r="O16" s="59">
        <v>2</v>
      </c>
      <c r="P16" s="59">
        <v>1</v>
      </c>
      <c r="Q16" s="54">
        <f t="shared" si="4"/>
        <v>2</v>
      </c>
      <c r="R16" s="46" t="str">
        <f t="shared" si="5"/>
        <v>BAJO</v>
      </c>
      <c r="S16" s="50" t="str">
        <f t="shared" si="2"/>
        <v>Jefes de División / Area / Sector</v>
      </c>
    </row>
    <row r="17" spans="2:19" ht="29.5" thickBot="1">
      <c r="B17" s="132"/>
      <c r="C17" s="137"/>
      <c r="D17" s="95" t="s">
        <v>195</v>
      </c>
      <c r="E17" s="138" t="s">
        <v>199</v>
      </c>
      <c r="F17" s="80" t="s">
        <v>196</v>
      </c>
      <c r="G17" s="60">
        <v>2</v>
      </c>
      <c r="H17" s="60">
        <v>2</v>
      </c>
      <c r="I17" s="58">
        <f t="shared" si="3"/>
        <v>4</v>
      </c>
      <c r="J17" s="64" t="str">
        <f t="shared" si="0"/>
        <v>MEDIO</v>
      </c>
      <c r="K17" s="82" t="s">
        <v>197</v>
      </c>
      <c r="L17" s="140"/>
      <c r="M17" s="57" t="s">
        <v>163</v>
      </c>
      <c r="N17" s="88">
        <v>45971</v>
      </c>
      <c r="O17" s="59">
        <v>2</v>
      </c>
      <c r="P17" s="59">
        <v>1</v>
      </c>
      <c r="Q17" s="54">
        <f t="shared" si="4"/>
        <v>2</v>
      </c>
      <c r="R17" s="46" t="str">
        <f t="shared" si="5"/>
        <v>BAJO</v>
      </c>
      <c r="S17" s="50" t="str">
        <f t="shared" ref="S17:S20" si="7">IF(Q17="","",IF(Q17&lt;=1,"Coordinador / Supervisor",IF(Q17&lt;=3,"Jefes de División / Area / Sector",IF(Q17&lt;=5,"Gerente de Yacimiento / Operaciones",IF(Q17&lt;=8,"Gerente Regional",IF(Q17&lt;=15,"Director Global De Operaciones / 
Director De Exploracion Y Desarrollo",IF(Q17&lt;=20,"Director General De Tecpetrol E&amp;P")))))))</f>
        <v>Jefes de División / Area / Sector</v>
      </c>
    </row>
    <row r="18" spans="2:19" ht="29.5" thickBot="1">
      <c r="B18" s="132"/>
      <c r="C18" s="137"/>
      <c r="D18" s="84"/>
      <c r="E18" s="139"/>
      <c r="F18" s="103" t="s">
        <v>198</v>
      </c>
      <c r="G18" s="60">
        <v>2</v>
      </c>
      <c r="H18" s="60">
        <v>2</v>
      </c>
      <c r="I18" s="58">
        <f t="shared" si="3"/>
        <v>4</v>
      </c>
      <c r="J18" s="64" t="str">
        <f t="shared" si="0"/>
        <v>MEDIO</v>
      </c>
      <c r="K18" s="95" t="s">
        <v>200</v>
      </c>
      <c r="L18" s="140"/>
      <c r="M18" s="57" t="s">
        <v>163</v>
      </c>
      <c r="N18" s="88">
        <v>45971</v>
      </c>
      <c r="O18" s="59">
        <v>2</v>
      </c>
      <c r="P18" s="59">
        <v>1</v>
      </c>
      <c r="Q18" s="54">
        <f t="shared" si="4"/>
        <v>2</v>
      </c>
      <c r="R18" s="46" t="str">
        <f t="shared" si="5"/>
        <v>BAJO</v>
      </c>
      <c r="S18" s="77" t="str">
        <f t="shared" si="7"/>
        <v>Jefes de División / Area / Sector</v>
      </c>
    </row>
    <row r="19" spans="2:19" ht="120.75" customHeight="1" thickBot="1">
      <c r="B19" s="132"/>
      <c r="C19" s="137"/>
      <c r="D19" s="108" t="s">
        <v>201</v>
      </c>
      <c r="E19" s="80" t="s">
        <v>202</v>
      </c>
      <c r="F19" s="97" t="s">
        <v>203</v>
      </c>
      <c r="G19" s="60">
        <v>3</v>
      </c>
      <c r="H19" s="60">
        <v>2</v>
      </c>
      <c r="I19" s="58">
        <f t="shared" si="3"/>
        <v>6</v>
      </c>
      <c r="J19" s="64" t="str">
        <f t="shared" si="0"/>
        <v>MEDIO</v>
      </c>
      <c r="K19" s="80" t="s">
        <v>204</v>
      </c>
      <c r="L19" s="140"/>
      <c r="M19" s="57" t="s">
        <v>163</v>
      </c>
      <c r="N19" s="88">
        <v>45971</v>
      </c>
      <c r="O19" s="59">
        <v>2</v>
      </c>
      <c r="P19" s="59">
        <v>1</v>
      </c>
      <c r="Q19" s="54">
        <f t="shared" si="4"/>
        <v>2</v>
      </c>
      <c r="R19" s="64" t="str">
        <f t="shared" si="5"/>
        <v>BAJO</v>
      </c>
      <c r="S19" s="50" t="str">
        <f t="shared" si="7"/>
        <v>Jefes de División / Area / Sector</v>
      </c>
    </row>
    <row r="20" spans="2:19" ht="89.5" customHeight="1" thickBot="1">
      <c r="B20" s="132"/>
      <c r="C20" s="137"/>
      <c r="D20" s="93" t="s">
        <v>205</v>
      </c>
      <c r="E20" s="96" t="s">
        <v>17</v>
      </c>
      <c r="F20" s="93" t="s">
        <v>206</v>
      </c>
      <c r="G20" s="62">
        <v>2</v>
      </c>
      <c r="H20" s="62">
        <v>2</v>
      </c>
      <c r="I20" s="56">
        <f t="shared" si="3"/>
        <v>4</v>
      </c>
      <c r="J20" s="67" t="str">
        <f t="shared" si="0"/>
        <v>MEDIO</v>
      </c>
      <c r="K20" s="80" t="s">
        <v>207</v>
      </c>
      <c r="L20" s="140"/>
      <c r="M20" s="57" t="s">
        <v>163</v>
      </c>
      <c r="N20" s="90">
        <v>45971</v>
      </c>
      <c r="O20" s="59">
        <v>1</v>
      </c>
      <c r="P20" s="59">
        <v>2</v>
      </c>
      <c r="Q20" s="66">
        <f t="shared" si="4"/>
        <v>2</v>
      </c>
      <c r="R20" s="67" t="str">
        <f t="shared" si="5"/>
        <v>BAJO</v>
      </c>
      <c r="S20" s="68" t="str">
        <f t="shared" si="7"/>
        <v>Jefes de División / Area / Sector</v>
      </c>
    </row>
    <row r="21" spans="2:19" ht="106.5" customHeight="1" thickBot="1">
      <c r="B21" s="132"/>
      <c r="C21" s="112"/>
      <c r="D21" s="110" t="s">
        <v>175</v>
      </c>
      <c r="E21" s="109" t="s">
        <v>208</v>
      </c>
      <c r="F21" s="109" t="s">
        <v>208</v>
      </c>
      <c r="G21" s="61">
        <v>3</v>
      </c>
      <c r="H21" s="61">
        <v>2</v>
      </c>
      <c r="I21" s="76">
        <f t="shared" si="3"/>
        <v>6</v>
      </c>
      <c r="J21" s="64" t="str">
        <f t="shared" si="0"/>
        <v>MEDIO</v>
      </c>
      <c r="K21" s="109" t="s">
        <v>162</v>
      </c>
      <c r="L21" s="140"/>
      <c r="M21" s="111" t="s">
        <v>163</v>
      </c>
      <c r="N21" s="91">
        <v>45971</v>
      </c>
      <c r="O21" s="61">
        <v>3</v>
      </c>
      <c r="P21" s="61">
        <v>1</v>
      </c>
      <c r="Q21" s="63">
        <f t="shared" si="4"/>
        <v>3</v>
      </c>
      <c r="R21" s="64" t="str">
        <f t="shared" si="5"/>
        <v>BAJO</v>
      </c>
      <c r="S21" s="65" t="str">
        <f t="shared" si="2"/>
        <v>Jefes de División / Area / Sector</v>
      </c>
    </row>
    <row r="22" spans="2:19" ht="30" customHeight="1" thickBot="1">
      <c r="B22" s="128" t="s">
        <v>210</v>
      </c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30"/>
    </row>
  </sheetData>
  <mergeCells count="29">
    <mergeCell ref="B22:S22"/>
    <mergeCell ref="B9:B21"/>
    <mergeCell ref="C9:C14"/>
    <mergeCell ref="C15:C20"/>
    <mergeCell ref="E17:E18"/>
    <mergeCell ref="L9:L21"/>
    <mergeCell ref="I7:J7"/>
    <mergeCell ref="Q7:R7"/>
    <mergeCell ref="S7:S8"/>
    <mergeCell ref="B7:B8"/>
    <mergeCell ref="C7:C8"/>
    <mergeCell ref="P7:P8"/>
    <mergeCell ref="K7:K8"/>
    <mergeCell ref="M7:M8"/>
    <mergeCell ref="N7:N8"/>
    <mergeCell ref="O7:O8"/>
    <mergeCell ref="L7:L8"/>
    <mergeCell ref="D7:D8"/>
    <mergeCell ref="E7:E8"/>
    <mergeCell ref="F7:F8"/>
    <mergeCell ref="G7:G8"/>
    <mergeCell ref="H7:H8"/>
    <mergeCell ref="B2:S2"/>
    <mergeCell ref="C3:D3"/>
    <mergeCell ref="C4:D4"/>
    <mergeCell ref="C5:D5"/>
    <mergeCell ref="E3:K3"/>
    <mergeCell ref="E4:K4"/>
    <mergeCell ref="E5:K5"/>
  </mergeCells>
  <conditionalFormatting sqref="J9:J21 R9:R21">
    <cfRule type="cellIs" dxfId="2" priority="4" stopIfTrue="1" operator="equal">
      <formula>"ALTO"</formula>
    </cfRule>
    <cfRule type="cellIs" dxfId="1" priority="5" stopIfTrue="1" operator="equal">
      <formula>"MEDIO"</formula>
    </cfRule>
    <cfRule type="cellIs" dxfId="0" priority="6" stopIfTrue="1" operator="equal">
      <formula>"BAJO"</formula>
    </cfRule>
  </conditionalFormatting>
  <pageMargins left="0.7" right="0.7" top="0.75" bottom="0.75" header="0.3" footer="0.3"/>
  <pageSetup scale="3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56"/>
  <sheetViews>
    <sheetView zoomScale="34" zoomScaleNormal="34" workbookViewId="0">
      <selection activeCell="AK39" sqref="AK39"/>
    </sheetView>
  </sheetViews>
  <sheetFormatPr baseColWidth="10" defaultColWidth="9.1796875" defaultRowHeight="12.5"/>
  <cols>
    <col min="1" max="1" width="9.1796875" style="5"/>
    <col min="2" max="2" width="44.81640625" style="8" customWidth="1"/>
    <col min="3" max="3" width="9.1796875" style="8"/>
    <col min="4" max="4" width="9.1796875" style="5"/>
    <col min="5" max="5" width="44.81640625" style="8" customWidth="1"/>
    <col min="6" max="16384" width="9.1796875" style="8"/>
  </cols>
  <sheetData>
    <row r="2" spans="1:5" ht="15.5">
      <c r="A2" s="6" t="s">
        <v>24</v>
      </c>
    </row>
    <row r="4" spans="1:5" ht="13">
      <c r="A4" s="4">
        <v>1</v>
      </c>
      <c r="B4" s="1" t="s">
        <v>22</v>
      </c>
      <c r="D4" s="4">
        <v>6</v>
      </c>
      <c r="E4" s="1" t="s">
        <v>25</v>
      </c>
    </row>
    <row r="5" spans="1:5" ht="25">
      <c r="A5" s="5">
        <v>1</v>
      </c>
      <c r="B5" s="7" t="s">
        <v>26</v>
      </c>
      <c r="D5" s="5">
        <v>1</v>
      </c>
      <c r="E5" s="2" t="s">
        <v>27</v>
      </c>
    </row>
    <row r="6" spans="1:5">
      <c r="A6" s="5">
        <v>2</v>
      </c>
      <c r="B6" s="8" t="s">
        <v>28</v>
      </c>
      <c r="D6" s="5">
        <v>2</v>
      </c>
      <c r="E6" s="2" t="s">
        <v>29</v>
      </c>
    </row>
    <row r="7" spans="1:5">
      <c r="A7" s="5">
        <v>3</v>
      </c>
      <c r="B7" s="8" t="s">
        <v>30</v>
      </c>
      <c r="D7" s="5">
        <v>3</v>
      </c>
      <c r="E7" s="2" t="s">
        <v>31</v>
      </c>
    </row>
    <row r="8" spans="1:5">
      <c r="A8" s="5">
        <v>4</v>
      </c>
      <c r="B8" s="8" t="s">
        <v>32</v>
      </c>
      <c r="D8" s="5">
        <v>4</v>
      </c>
      <c r="E8" s="2" t="s">
        <v>33</v>
      </c>
    </row>
    <row r="9" spans="1:5">
      <c r="A9" s="5">
        <v>5</v>
      </c>
      <c r="B9" s="2" t="s">
        <v>34</v>
      </c>
      <c r="D9" s="5">
        <v>5</v>
      </c>
      <c r="E9" s="2" t="s">
        <v>35</v>
      </c>
    </row>
    <row r="10" spans="1:5">
      <c r="A10" s="5">
        <v>6</v>
      </c>
      <c r="B10" s="2" t="s">
        <v>36</v>
      </c>
      <c r="D10" s="5">
        <v>6</v>
      </c>
      <c r="E10" s="2" t="s">
        <v>37</v>
      </c>
    </row>
    <row r="11" spans="1:5">
      <c r="A11" s="5">
        <v>7</v>
      </c>
      <c r="B11" s="2" t="s">
        <v>38</v>
      </c>
      <c r="D11" s="5">
        <v>7</v>
      </c>
      <c r="E11" s="2" t="s">
        <v>39</v>
      </c>
    </row>
    <row r="12" spans="1:5">
      <c r="D12" s="5">
        <v>8</v>
      </c>
      <c r="E12" s="2" t="s">
        <v>40</v>
      </c>
    </row>
    <row r="13" spans="1:5" ht="13">
      <c r="A13" s="4">
        <v>2</v>
      </c>
      <c r="B13" s="1" t="s">
        <v>41</v>
      </c>
      <c r="D13" s="5">
        <v>9</v>
      </c>
      <c r="E13" s="2" t="s">
        <v>42</v>
      </c>
    </row>
    <row r="14" spans="1:5" ht="25">
      <c r="A14" s="5">
        <v>1</v>
      </c>
      <c r="B14" s="3" t="s">
        <v>43</v>
      </c>
    </row>
    <row r="15" spans="1:5" ht="13">
      <c r="A15" s="5">
        <v>2</v>
      </c>
      <c r="B15" s="2" t="s">
        <v>44</v>
      </c>
      <c r="D15" s="4">
        <v>7</v>
      </c>
      <c r="E15" s="1" t="s">
        <v>45</v>
      </c>
    </row>
    <row r="16" spans="1:5">
      <c r="A16" s="5">
        <v>3</v>
      </c>
      <c r="B16" s="2" t="s">
        <v>46</v>
      </c>
      <c r="D16" s="5">
        <v>1</v>
      </c>
      <c r="E16" s="2" t="s">
        <v>47</v>
      </c>
    </row>
    <row r="17" spans="1:5">
      <c r="A17" s="5">
        <v>4</v>
      </c>
      <c r="B17" s="2" t="s">
        <v>48</v>
      </c>
      <c r="D17" s="5">
        <v>2</v>
      </c>
      <c r="E17" s="2" t="s">
        <v>49</v>
      </c>
    </row>
    <row r="18" spans="1:5">
      <c r="A18" s="5">
        <v>5</v>
      </c>
      <c r="B18" s="2" t="s">
        <v>50</v>
      </c>
      <c r="D18" s="5">
        <v>3</v>
      </c>
      <c r="E18" s="2" t="s">
        <v>51</v>
      </c>
    </row>
    <row r="19" spans="1:5">
      <c r="A19" s="5">
        <v>6</v>
      </c>
      <c r="B19" s="2" t="s">
        <v>52</v>
      </c>
      <c r="D19" s="5">
        <v>4</v>
      </c>
      <c r="E19" s="2" t="s">
        <v>53</v>
      </c>
    </row>
    <row r="20" spans="1:5">
      <c r="A20" s="5">
        <v>7</v>
      </c>
      <c r="B20" s="2" t="s">
        <v>54</v>
      </c>
      <c r="D20" s="5">
        <v>5</v>
      </c>
      <c r="E20" s="2" t="s">
        <v>55</v>
      </c>
    </row>
    <row r="21" spans="1:5" ht="25">
      <c r="A21" s="5">
        <v>8</v>
      </c>
      <c r="B21" s="2" t="s">
        <v>56</v>
      </c>
      <c r="D21" s="5">
        <v>6</v>
      </c>
      <c r="E21" s="3" t="s">
        <v>57</v>
      </c>
    </row>
    <row r="22" spans="1:5">
      <c r="A22" s="5">
        <v>9</v>
      </c>
      <c r="B22" s="2" t="s">
        <v>58</v>
      </c>
    </row>
    <row r="23" spans="1:5" ht="13">
      <c r="D23" s="4">
        <v>8</v>
      </c>
      <c r="E23" s="1" t="s">
        <v>59</v>
      </c>
    </row>
    <row r="24" spans="1:5" ht="13">
      <c r="A24" s="4">
        <v>3</v>
      </c>
      <c r="B24" s="1" t="s">
        <v>19</v>
      </c>
      <c r="D24" s="5">
        <v>1</v>
      </c>
      <c r="E24" s="2" t="s">
        <v>60</v>
      </c>
    </row>
    <row r="25" spans="1:5">
      <c r="A25" s="5">
        <v>1</v>
      </c>
      <c r="B25" s="2" t="s">
        <v>61</v>
      </c>
      <c r="D25" s="5">
        <v>2</v>
      </c>
      <c r="E25" s="2" t="s">
        <v>62</v>
      </c>
    </row>
    <row r="26" spans="1:5">
      <c r="A26" s="5">
        <v>2</v>
      </c>
      <c r="B26" s="2" t="s">
        <v>63</v>
      </c>
      <c r="D26" s="5">
        <v>3</v>
      </c>
      <c r="E26" s="2" t="s">
        <v>64</v>
      </c>
    </row>
    <row r="27" spans="1:5">
      <c r="A27" s="5">
        <v>3</v>
      </c>
      <c r="B27" s="2" t="s">
        <v>65</v>
      </c>
      <c r="D27" s="5">
        <v>4</v>
      </c>
      <c r="E27" s="2" t="s">
        <v>66</v>
      </c>
    </row>
    <row r="28" spans="1:5">
      <c r="A28" s="5">
        <v>4</v>
      </c>
      <c r="B28" s="2" t="s">
        <v>67</v>
      </c>
    </row>
    <row r="29" spans="1:5" ht="13">
      <c r="A29" s="5">
        <v>5</v>
      </c>
      <c r="B29" s="2" t="s">
        <v>20</v>
      </c>
      <c r="D29" s="4">
        <v>9</v>
      </c>
      <c r="E29" s="1" t="s">
        <v>18</v>
      </c>
    </row>
    <row r="30" spans="1:5">
      <c r="A30" s="5">
        <v>6</v>
      </c>
      <c r="B30" s="2" t="s">
        <v>68</v>
      </c>
      <c r="D30" s="5">
        <v>1</v>
      </c>
      <c r="E30" s="2" t="s">
        <v>69</v>
      </c>
    </row>
    <row r="31" spans="1:5">
      <c r="A31" s="5">
        <v>7</v>
      </c>
      <c r="B31" s="2" t="s">
        <v>70</v>
      </c>
      <c r="D31" s="5">
        <v>2</v>
      </c>
      <c r="E31" s="2" t="s">
        <v>71</v>
      </c>
    </row>
    <row r="32" spans="1:5">
      <c r="A32" s="5">
        <v>8</v>
      </c>
      <c r="B32" s="2" t="s">
        <v>72</v>
      </c>
      <c r="D32" s="5">
        <v>3</v>
      </c>
      <c r="E32" s="2" t="s">
        <v>73</v>
      </c>
    </row>
    <row r="33" spans="1:5">
      <c r="D33" s="5">
        <v>4</v>
      </c>
      <c r="E33" s="2" t="s">
        <v>74</v>
      </c>
    </row>
    <row r="34" spans="1:5" ht="13">
      <c r="A34" s="4">
        <v>4</v>
      </c>
      <c r="B34" s="1" t="s">
        <v>21</v>
      </c>
    </row>
    <row r="35" spans="1:5" ht="13">
      <c r="A35" s="5">
        <v>1</v>
      </c>
      <c r="B35" s="2" t="s">
        <v>75</v>
      </c>
      <c r="D35" s="4">
        <v>10</v>
      </c>
      <c r="E35" s="1" t="s">
        <v>17</v>
      </c>
    </row>
    <row r="36" spans="1:5">
      <c r="A36" s="5">
        <v>2</v>
      </c>
      <c r="B36" s="2" t="s">
        <v>76</v>
      </c>
      <c r="D36" s="5">
        <v>1</v>
      </c>
      <c r="E36" s="2" t="s">
        <v>77</v>
      </c>
    </row>
    <row r="37" spans="1:5">
      <c r="A37" s="5">
        <v>3</v>
      </c>
      <c r="B37" s="2" t="s">
        <v>78</v>
      </c>
      <c r="D37" s="5">
        <v>2</v>
      </c>
      <c r="E37" s="2" t="s">
        <v>79</v>
      </c>
    </row>
    <row r="38" spans="1:5">
      <c r="A38" s="5">
        <v>4</v>
      </c>
      <c r="B38" s="2" t="s">
        <v>80</v>
      </c>
      <c r="D38" s="5">
        <v>3</v>
      </c>
      <c r="E38" s="2" t="s">
        <v>81</v>
      </c>
    </row>
    <row r="39" spans="1:5">
      <c r="A39" s="5">
        <v>5</v>
      </c>
      <c r="B39" s="2" t="s">
        <v>82</v>
      </c>
      <c r="D39" s="5">
        <v>4</v>
      </c>
      <c r="E39" s="2" t="s">
        <v>83</v>
      </c>
    </row>
    <row r="40" spans="1:5">
      <c r="A40" s="5">
        <v>6</v>
      </c>
      <c r="B40" s="2" t="s">
        <v>84</v>
      </c>
      <c r="D40" s="5">
        <v>5</v>
      </c>
      <c r="E40" s="2" t="s">
        <v>85</v>
      </c>
    </row>
    <row r="41" spans="1:5">
      <c r="A41" s="5">
        <v>7</v>
      </c>
      <c r="B41" s="2" t="s">
        <v>86</v>
      </c>
      <c r="D41" s="5">
        <v>6</v>
      </c>
      <c r="E41" s="8" t="s">
        <v>87</v>
      </c>
    </row>
    <row r="42" spans="1:5">
      <c r="A42" s="5">
        <v>8</v>
      </c>
      <c r="B42" s="2" t="s">
        <v>88</v>
      </c>
    </row>
    <row r="43" spans="1:5" ht="13">
      <c r="A43" s="5">
        <v>9</v>
      </c>
      <c r="B43" s="2" t="s">
        <v>89</v>
      </c>
      <c r="D43" s="4">
        <v>20</v>
      </c>
      <c r="E43" s="1" t="s">
        <v>90</v>
      </c>
    </row>
    <row r="44" spans="1:5">
      <c r="B44" s="2"/>
      <c r="D44" s="5">
        <v>1</v>
      </c>
      <c r="E44" s="2" t="s">
        <v>91</v>
      </c>
    </row>
    <row r="45" spans="1:5" ht="13">
      <c r="A45" s="4">
        <v>5</v>
      </c>
      <c r="B45" s="1" t="s">
        <v>23</v>
      </c>
      <c r="D45" s="5">
        <v>2</v>
      </c>
      <c r="E45" s="2" t="s">
        <v>92</v>
      </c>
    </row>
    <row r="46" spans="1:5">
      <c r="A46" s="5">
        <v>1</v>
      </c>
      <c r="B46" s="2" t="s">
        <v>93</v>
      </c>
      <c r="D46" s="5">
        <v>3</v>
      </c>
      <c r="E46" s="2" t="s">
        <v>94</v>
      </c>
    </row>
    <row r="47" spans="1:5">
      <c r="A47" s="5">
        <v>2</v>
      </c>
      <c r="B47" s="2" t="s">
        <v>95</v>
      </c>
      <c r="D47" s="5">
        <v>4</v>
      </c>
      <c r="E47" s="2" t="s">
        <v>96</v>
      </c>
    </row>
    <row r="48" spans="1:5">
      <c r="A48" s="5">
        <v>3</v>
      </c>
      <c r="B48" s="2" t="s">
        <v>97</v>
      </c>
      <c r="D48" s="5">
        <v>5</v>
      </c>
      <c r="E48" s="2" t="s">
        <v>98</v>
      </c>
    </row>
    <row r="49" spans="1:5">
      <c r="A49" s="5">
        <v>4</v>
      </c>
      <c r="B49" s="2" t="s">
        <v>99</v>
      </c>
    </row>
    <row r="50" spans="1:5" ht="13">
      <c r="A50" s="5">
        <v>5</v>
      </c>
      <c r="B50" s="2" t="s">
        <v>100</v>
      </c>
      <c r="D50" s="4">
        <v>30</v>
      </c>
      <c r="E50" s="1" t="s">
        <v>101</v>
      </c>
    </row>
    <row r="51" spans="1:5">
      <c r="A51" s="5">
        <v>6</v>
      </c>
      <c r="B51" s="2" t="s">
        <v>102</v>
      </c>
      <c r="D51" s="5">
        <v>1</v>
      </c>
      <c r="E51" s="2" t="s">
        <v>103</v>
      </c>
    </row>
    <row r="52" spans="1:5">
      <c r="A52" s="5">
        <v>7</v>
      </c>
      <c r="B52" s="2" t="s">
        <v>104</v>
      </c>
      <c r="D52" s="5">
        <v>2</v>
      </c>
      <c r="E52" s="2" t="s">
        <v>105</v>
      </c>
    </row>
    <row r="53" spans="1:5">
      <c r="A53" s="5">
        <v>8</v>
      </c>
      <c r="B53" s="2" t="s">
        <v>106</v>
      </c>
      <c r="D53" s="5">
        <v>3</v>
      </c>
      <c r="E53" s="2" t="s">
        <v>107</v>
      </c>
    </row>
    <row r="54" spans="1:5">
      <c r="A54" s="5">
        <v>9</v>
      </c>
      <c r="B54" s="2" t="s">
        <v>108</v>
      </c>
    </row>
    <row r="55" spans="1:5">
      <c r="A55" s="5">
        <v>10</v>
      </c>
      <c r="B55" s="2" t="s">
        <v>109</v>
      </c>
    </row>
    <row r="56" spans="1:5">
      <c r="A56" s="5">
        <v>11</v>
      </c>
      <c r="B56" s="2" t="s">
        <v>110</v>
      </c>
    </row>
  </sheetData>
  <pageMargins left="0.70866141732283472" right="0.70866141732283472" top="0.74803149606299213" bottom="0.74803149606299213" header="0.31496062992125984" footer="0.31496062992125984"/>
  <pageSetup scale="77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40"/>
  <sheetViews>
    <sheetView zoomScale="10" zoomScaleNormal="10" workbookViewId="0">
      <selection activeCell="C20" sqref="C20"/>
    </sheetView>
  </sheetViews>
  <sheetFormatPr baseColWidth="10" defaultColWidth="9.1796875" defaultRowHeight="14.5"/>
  <cols>
    <col min="1" max="1" width="21.54296875" style="13" customWidth="1"/>
    <col min="2" max="3" width="50.7265625" style="38" customWidth="1"/>
    <col min="4" max="4" width="50.7265625" style="38" hidden="1" customWidth="1"/>
    <col min="5" max="5" width="50.7265625" style="38" customWidth="1"/>
    <col min="6" max="6" width="5.26953125" style="13" bestFit="1" customWidth="1"/>
    <col min="7" max="7" width="27.26953125" style="13" bestFit="1" customWidth="1"/>
    <col min="8" max="8" width="27.7265625" style="13" customWidth="1"/>
    <col min="9" max="9" width="30.1796875" style="13" bestFit="1" customWidth="1"/>
    <col min="10" max="11" width="31" style="13" bestFit="1" customWidth="1"/>
    <col min="12" max="12" width="9.1796875" style="13"/>
    <col min="13" max="13" width="22.81640625" style="13" customWidth="1"/>
    <col min="14" max="16384" width="9.1796875" style="13"/>
  </cols>
  <sheetData>
    <row r="1" spans="1:11" ht="21">
      <c r="A1" s="141" t="s">
        <v>111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</row>
    <row r="3" spans="1:11">
      <c r="A3" s="142" t="s">
        <v>112</v>
      </c>
      <c r="B3" s="142"/>
      <c r="C3" s="142"/>
      <c r="D3" s="142"/>
      <c r="E3" s="142"/>
      <c r="F3" s="143"/>
      <c r="G3" s="144" t="s">
        <v>113</v>
      </c>
      <c r="H3" s="142"/>
      <c r="I3" s="142"/>
      <c r="J3" s="142"/>
      <c r="K3" s="142"/>
    </row>
    <row r="4" spans="1:11" s="18" customFormat="1" ht="63" customHeight="1">
      <c r="A4" s="145"/>
      <c r="B4" s="145" t="s">
        <v>114</v>
      </c>
      <c r="C4" s="145" t="s">
        <v>115</v>
      </c>
      <c r="D4" s="14" t="s">
        <v>116</v>
      </c>
      <c r="E4" s="145" t="s">
        <v>117</v>
      </c>
      <c r="F4" s="147" t="s">
        <v>118</v>
      </c>
      <c r="G4" s="15" t="s">
        <v>119</v>
      </c>
      <c r="H4" s="16" t="s">
        <v>120</v>
      </c>
      <c r="I4" s="16" t="s">
        <v>121</v>
      </c>
      <c r="J4" s="17" t="s">
        <v>122</v>
      </c>
      <c r="K4" s="16" t="s">
        <v>123</v>
      </c>
    </row>
    <row r="5" spans="1:11" s="18" customFormat="1" ht="74.25" customHeight="1">
      <c r="A5" s="145"/>
      <c r="B5" s="145"/>
      <c r="C5" s="145"/>
      <c r="D5" s="14"/>
      <c r="E5" s="145"/>
      <c r="F5" s="147"/>
      <c r="G5" s="15" t="s">
        <v>124</v>
      </c>
      <c r="H5" s="17" t="s">
        <v>125</v>
      </c>
      <c r="I5" s="17" t="s">
        <v>126</v>
      </c>
      <c r="J5" s="17" t="s">
        <v>127</v>
      </c>
      <c r="K5" s="17" t="s">
        <v>128</v>
      </c>
    </row>
    <row r="6" spans="1:11" s="18" customFormat="1" ht="21.5" thickBot="1">
      <c r="A6" s="146"/>
      <c r="B6" s="146"/>
      <c r="C6" s="146"/>
      <c r="D6" s="19"/>
      <c r="E6" s="146"/>
      <c r="F6" s="148"/>
      <c r="G6" s="20">
        <v>1</v>
      </c>
      <c r="H6" s="21">
        <v>2</v>
      </c>
      <c r="I6" s="21">
        <v>3</v>
      </c>
      <c r="J6" s="21">
        <v>4</v>
      </c>
      <c r="K6" s="21">
        <v>5</v>
      </c>
    </row>
    <row r="7" spans="1:11" ht="114.75" customHeight="1" thickTop="1">
      <c r="A7" s="22" t="s">
        <v>129</v>
      </c>
      <c r="B7" s="23" t="s">
        <v>130</v>
      </c>
      <c r="C7" s="23" t="s">
        <v>131</v>
      </c>
      <c r="D7" s="24" t="s">
        <v>132</v>
      </c>
      <c r="E7" s="23" t="s">
        <v>133</v>
      </c>
      <c r="F7" s="25">
        <v>0</v>
      </c>
      <c r="G7" s="26">
        <f>G$6*$F7</f>
        <v>0</v>
      </c>
      <c r="H7" s="26">
        <f t="shared" ref="G7:K8" si="0">H$6*$F7</f>
        <v>0</v>
      </c>
      <c r="I7" s="26">
        <f t="shared" si="0"/>
        <v>0</v>
      </c>
      <c r="J7" s="26">
        <f t="shared" si="0"/>
        <v>0</v>
      </c>
      <c r="K7" s="26">
        <f t="shared" si="0"/>
        <v>0</v>
      </c>
    </row>
    <row r="8" spans="1:11" ht="63" customHeight="1">
      <c r="A8" s="153" t="s">
        <v>134</v>
      </c>
      <c r="B8" s="44" t="s">
        <v>135</v>
      </c>
      <c r="C8" s="154" t="s">
        <v>136</v>
      </c>
      <c r="D8" s="27" t="s">
        <v>137</v>
      </c>
      <c r="E8" s="154" t="s">
        <v>138</v>
      </c>
      <c r="F8" s="157">
        <v>1</v>
      </c>
      <c r="G8" s="158">
        <f t="shared" si="0"/>
        <v>1</v>
      </c>
      <c r="H8" s="149">
        <f t="shared" si="0"/>
        <v>2</v>
      </c>
      <c r="I8" s="149">
        <f t="shared" si="0"/>
        <v>3</v>
      </c>
      <c r="J8" s="151">
        <f t="shared" si="0"/>
        <v>4</v>
      </c>
      <c r="K8" s="151">
        <f t="shared" si="0"/>
        <v>5</v>
      </c>
    </row>
    <row r="9" spans="1:11" ht="69.75" customHeight="1">
      <c r="A9" s="153"/>
      <c r="B9" s="28" t="s">
        <v>139</v>
      </c>
      <c r="C9" s="155"/>
      <c r="D9" s="29" t="s">
        <v>140</v>
      </c>
      <c r="E9" s="155"/>
      <c r="F9" s="157"/>
      <c r="G9" s="159"/>
      <c r="H9" s="150"/>
      <c r="I9" s="150"/>
      <c r="J9" s="152"/>
      <c r="K9" s="152"/>
    </row>
    <row r="10" spans="1:11" ht="114" customHeight="1">
      <c r="A10" s="153" t="s">
        <v>141</v>
      </c>
      <c r="B10" s="30" t="s">
        <v>142</v>
      </c>
      <c r="C10" s="154" t="s">
        <v>143</v>
      </c>
      <c r="D10" s="156" t="s">
        <v>144</v>
      </c>
      <c r="E10" s="154" t="s">
        <v>145</v>
      </c>
      <c r="F10" s="157">
        <v>2</v>
      </c>
      <c r="G10" s="158">
        <f>G$6*$F10</f>
        <v>2</v>
      </c>
      <c r="H10" s="151">
        <f>H$6*$F10</f>
        <v>4</v>
      </c>
      <c r="I10" s="151">
        <f>I$6*$F10</f>
        <v>6</v>
      </c>
      <c r="J10" s="151">
        <f>J$6*$F10</f>
        <v>8</v>
      </c>
      <c r="K10" s="160">
        <f>K$6*$F10</f>
        <v>10</v>
      </c>
    </row>
    <row r="11" spans="1:11" ht="98.25" customHeight="1">
      <c r="A11" s="153"/>
      <c r="B11" s="31" t="s">
        <v>146</v>
      </c>
      <c r="C11" s="155"/>
      <c r="D11" s="156"/>
      <c r="E11" s="155"/>
      <c r="F11" s="157"/>
      <c r="G11" s="159"/>
      <c r="H11" s="152"/>
      <c r="I11" s="152"/>
      <c r="J11" s="152"/>
      <c r="K11" s="161"/>
    </row>
    <row r="12" spans="1:11" ht="40.5" customHeight="1">
      <c r="A12" s="153" t="s">
        <v>147</v>
      </c>
      <c r="B12" s="44" t="s">
        <v>148</v>
      </c>
      <c r="C12" s="154" t="s">
        <v>149</v>
      </c>
      <c r="D12" s="156" t="s">
        <v>150</v>
      </c>
      <c r="E12" s="154" t="s">
        <v>151</v>
      </c>
      <c r="F12" s="157">
        <v>3</v>
      </c>
      <c r="G12" s="158">
        <f>G$6*$F12</f>
        <v>3</v>
      </c>
      <c r="H12" s="151">
        <f>H$6*$F12</f>
        <v>6</v>
      </c>
      <c r="I12" s="160">
        <f>I$6*$F12</f>
        <v>9</v>
      </c>
      <c r="J12" s="160">
        <f>J$6*$F12</f>
        <v>12</v>
      </c>
      <c r="K12" s="160">
        <f>K$6*$F12</f>
        <v>15</v>
      </c>
    </row>
    <row r="13" spans="1:11" ht="121.5" customHeight="1">
      <c r="A13" s="153"/>
      <c r="B13" s="32" t="s">
        <v>152</v>
      </c>
      <c r="C13" s="155"/>
      <c r="D13" s="156"/>
      <c r="E13" s="155"/>
      <c r="F13" s="157"/>
      <c r="G13" s="159"/>
      <c r="H13" s="152"/>
      <c r="I13" s="161"/>
      <c r="J13" s="161"/>
      <c r="K13" s="161"/>
    </row>
    <row r="14" spans="1:11" ht="98.25" customHeight="1">
      <c r="A14" s="153" t="s">
        <v>153</v>
      </c>
      <c r="B14" s="154" t="s">
        <v>154</v>
      </c>
      <c r="C14" s="154" t="s">
        <v>155</v>
      </c>
      <c r="D14" s="156" t="s">
        <v>150</v>
      </c>
      <c r="E14" s="154" t="s">
        <v>156</v>
      </c>
      <c r="F14" s="164">
        <v>4</v>
      </c>
      <c r="G14" s="165">
        <f>G$6*$F14</f>
        <v>4</v>
      </c>
      <c r="H14" s="151">
        <f>H$6*$F14</f>
        <v>8</v>
      </c>
      <c r="I14" s="160">
        <f>I$6*$F14</f>
        <v>12</v>
      </c>
      <c r="J14" s="160">
        <f>J$6*$F14</f>
        <v>16</v>
      </c>
      <c r="K14" s="160">
        <f>K$6*$F14</f>
        <v>20</v>
      </c>
    </row>
    <row r="15" spans="1:11" ht="98.25" customHeight="1">
      <c r="A15" s="153"/>
      <c r="B15" s="155"/>
      <c r="C15" s="155"/>
      <c r="D15" s="156"/>
      <c r="E15" s="155"/>
      <c r="F15" s="164"/>
      <c r="G15" s="166"/>
      <c r="H15" s="152"/>
      <c r="I15" s="161"/>
      <c r="J15" s="161"/>
      <c r="K15" s="161"/>
    </row>
    <row r="16" spans="1:11" ht="46.5" customHeight="1">
      <c r="A16" s="33"/>
      <c r="B16" s="34"/>
      <c r="C16" s="34"/>
      <c r="D16" s="35"/>
      <c r="E16" s="34"/>
      <c r="F16" s="33"/>
      <c r="G16" s="36"/>
      <c r="H16" s="36"/>
      <c r="I16" s="36"/>
      <c r="J16" s="36"/>
      <c r="K16" s="36"/>
    </row>
    <row r="17" spans="1:11">
      <c r="A17" s="37"/>
      <c r="F17" s="37"/>
      <c r="G17" s="162" t="s">
        <v>157</v>
      </c>
      <c r="H17" s="162"/>
      <c r="I17" s="162"/>
      <c r="J17" s="37"/>
      <c r="K17" s="37"/>
    </row>
    <row r="18" spans="1:11" ht="18.5">
      <c r="A18" s="39"/>
      <c r="B18" s="39"/>
      <c r="C18" s="39"/>
      <c r="D18" s="39"/>
      <c r="E18" s="39"/>
      <c r="G18" s="40" t="s">
        <v>158</v>
      </c>
      <c r="H18" s="41" t="s">
        <v>159</v>
      </c>
      <c r="I18" s="42" t="s">
        <v>160</v>
      </c>
    </row>
    <row r="19" spans="1:11">
      <c r="A19" s="39"/>
      <c r="B19" s="39"/>
      <c r="C19" s="39"/>
      <c r="D19" s="39"/>
      <c r="E19" s="39"/>
    </row>
    <row r="20" spans="1:11">
      <c r="A20" s="39"/>
      <c r="B20" s="39"/>
      <c r="C20" s="39"/>
      <c r="D20" s="39"/>
      <c r="E20" s="39"/>
    </row>
    <row r="21" spans="1:11">
      <c r="A21" s="39"/>
      <c r="B21" s="39"/>
      <c r="C21" s="39"/>
      <c r="D21" s="39"/>
      <c r="E21" s="39"/>
    </row>
    <row r="22" spans="1:11">
      <c r="A22" s="43"/>
      <c r="B22" s="43"/>
      <c r="C22" s="43"/>
      <c r="D22" s="43"/>
      <c r="E22" s="43"/>
    </row>
    <row r="23" spans="1:11">
      <c r="A23" s="43"/>
      <c r="B23" s="43"/>
      <c r="C23" s="43"/>
      <c r="D23" s="43"/>
      <c r="E23" s="43"/>
    </row>
    <row r="24" spans="1:11">
      <c r="A24" s="43"/>
      <c r="B24" s="43"/>
      <c r="C24" s="43"/>
      <c r="D24" s="43"/>
      <c r="E24" s="43"/>
    </row>
    <row r="25" spans="1:11">
      <c r="A25" s="43"/>
      <c r="B25" s="43"/>
      <c r="C25" s="43"/>
      <c r="D25" s="43"/>
      <c r="E25" s="43"/>
    </row>
    <row r="26" spans="1:11">
      <c r="A26" s="39"/>
      <c r="B26" s="39"/>
      <c r="C26" s="39"/>
      <c r="D26" s="39"/>
      <c r="E26" s="39"/>
    </row>
    <row r="27" spans="1:11">
      <c r="A27" s="39"/>
      <c r="B27" s="39"/>
      <c r="C27" s="39"/>
      <c r="D27" s="39"/>
      <c r="E27" s="39"/>
    </row>
    <row r="28" spans="1:11">
      <c r="A28" s="39"/>
      <c r="B28" s="39"/>
      <c r="C28" s="39"/>
      <c r="D28" s="39"/>
      <c r="E28" s="39"/>
    </row>
    <row r="29" spans="1:11">
      <c r="A29" s="39"/>
      <c r="B29" s="39"/>
      <c r="C29" s="39"/>
      <c r="D29" s="39"/>
      <c r="E29" s="39"/>
    </row>
    <row r="30" spans="1:11">
      <c r="A30" s="39"/>
      <c r="B30" s="39"/>
      <c r="C30" s="39"/>
      <c r="D30" s="39"/>
      <c r="E30" s="39"/>
    </row>
    <row r="33" spans="1:5">
      <c r="B33" s="13"/>
      <c r="C33" s="13"/>
      <c r="D33" s="13"/>
      <c r="E33" s="13"/>
    </row>
    <row r="35" spans="1:5">
      <c r="A35" s="163"/>
      <c r="B35" s="163"/>
      <c r="C35" s="163"/>
      <c r="D35" s="163"/>
      <c r="E35" s="163"/>
    </row>
    <row r="36" spans="1:5">
      <c r="A36" s="163"/>
      <c r="B36" s="163"/>
      <c r="C36" s="163"/>
      <c r="D36" s="163"/>
      <c r="E36" s="163"/>
    </row>
    <row r="40" spans="1:5">
      <c r="A40" s="167"/>
      <c r="B40" s="167"/>
      <c r="C40" s="168"/>
      <c r="D40" s="168"/>
      <c r="E40" s="168"/>
    </row>
  </sheetData>
  <mergeCells count="52">
    <mergeCell ref="A40:B40"/>
    <mergeCell ref="C40:E40"/>
    <mergeCell ref="H14:H15"/>
    <mergeCell ref="I14:I15"/>
    <mergeCell ref="J14:J15"/>
    <mergeCell ref="K14:K15"/>
    <mergeCell ref="G17:I17"/>
    <mergeCell ref="A35:E36"/>
    <mergeCell ref="I12:I13"/>
    <mergeCell ref="J12:J13"/>
    <mergeCell ref="K12:K13"/>
    <mergeCell ref="A14:A15"/>
    <mergeCell ref="B14:B15"/>
    <mergeCell ref="C14:C15"/>
    <mergeCell ref="D14:D15"/>
    <mergeCell ref="E14:E15"/>
    <mergeCell ref="F14:F15"/>
    <mergeCell ref="G14:G15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H12:H13"/>
    <mergeCell ref="I8:I9"/>
    <mergeCell ref="J8:J9"/>
    <mergeCell ref="K8:K9"/>
    <mergeCell ref="A10:A11"/>
    <mergeCell ref="C10:C11"/>
    <mergeCell ref="D10:D11"/>
    <mergeCell ref="E10:E11"/>
    <mergeCell ref="F10:F11"/>
    <mergeCell ref="G10:G11"/>
    <mergeCell ref="H10:H11"/>
    <mergeCell ref="A8:A9"/>
    <mergeCell ref="C8:C9"/>
    <mergeCell ref="E8:E9"/>
    <mergeCell ref="F8:F9"/>
    <mergeCell ref="G8:G9"/>
    <mergeCell ref="H8:H9"/>
    <mergeCell ref="A1:K1"/>
    <mergeCell ref="A3:F3"/>
    <mergeCell ref="G3:K3"/>
    <mergeCell ref="A4:A6"/>
    <mergeCell ref="B4:B6"/>
    <mergeCell ref="C4:C6"/>
    <mergeCell ref="E4:E6"/>
    <mergeCell ref="F4:F6"/>
  </mergeCells>
  <pageMargins left="0.47244094488188981" right="0.19685039370078741" top="0.74803149606299213" bottom="0.74803149606299213" header="0.31496062992125984" footer="0.31496062992125984"/>
  <pageSetup paperSize="9" scale="4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b5066a-dedf-4469-86bd-1f7f24bf87b7">
      <Terms xmlns="http://schemas.microsoft.com/office/infopath/2007/PartnerControls"/>
    </lcf76f155ced4ddcb4097134ff3c332f>
    <TaxCatchAll xmlns="0126db1d-dc11-4b8c-88bc-ff5f2b3b656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1B7ADC0E0BF743BDAFDC3AD1898806" ma:contentTypeVersion="13" ma:contentTypeDescription="Create a new document." ma:contentTypeScope="" ma:versionID="ee0373e2c4bfe9d1a6f3c60ef821e03e">
  <xsd:schema xmlns:xsd="http://www.w3.org/2001/XMLSchema" xmlns:xs="http://www.w3.org/2001/XMLSchema" xmlns:p="http://schemas.microsoft.com/office/2006/metadata/properties" xmlns:ns2="1ab5066a-dedf-4469-86bd-1f7f24bf87b7" xmlns:ns3="0126db1d-dc11-4b8c-88bc-ff5f2b3b6562" targetNamespace="http://schemas.microsoft.com/office/2006/metadata/properties" ma:root="true" ma:fieldsID="320a7439f18d9e5e62c43ab7b1083b94" ns2:_="" ns3:_="">
    <xsd:import namespace="1ab5066a-dedf-4469-86bd-1f7f24bf87b7"/>
    <xsd:import namespace="0126db1d-dc11-4b8c-88bc-ff5f2b3b65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b5066a-dedf-4469-86bd-1f7f24bf8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da47fd0-e5d9-45ac-aa05-2e95f0d52e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6db1d-dc11-4b8c-88bc-ff5f2b3b656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0491320-4294-4cbe-93f7-7f3409d4aa70}" ma:internalName="TaxCatchAll" ma:showField="CatchAllData" ma:web="0126db1d-dc11-4b8c-88bc-ff5f2b3b65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A4A50-B568-4C2F-8739-16EF4F07C9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EDE7CC-EF8E-46EF-B9D9-4EBFE3120640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1ab5066a-dedf-4469-86bd-1f7f24bf87b7"/>
    <ds:schemaRef ds:uri="http://purl.org/dc/dcmitype/"/>
    <ds:schemaRef ds:uri="http://schemas.microsoft.com/office/infopath/2007/PartnerControls"/>
    <ds:schemaRef ds:uri="0126db1d-dc11-4b8c-88bc-ff5f2b3b6562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E8ABFDE-30FA-46AC-8C79-195D4CE079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b5066a-dedf-4469-86bd-1f7f24bf87b7"/>
    <ds:schemaRef ds:uri="0126db1d-dc11-4b8c-88bc-ff5f2b3b6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MIVRI</vt:lpstr>
      <vt:lpstr>Codificación de peligros</vt:lpstr>
      <vt:lpstr>Clasificac Riesgos e impactos</vt:lpstr>
      <vt:lpstr>'Clasificac Riesgos e impactos'!Área_de_impresión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Anexo I - MIVRI Bloqueo y Etiquetado de Bombas en Planta de Agua y Despacho</dc:title>
  <dc:subject/>
  <dc:creator>ricardogramajo@techint.com</dc:creator>
  <cp:keywords/>
  <dc:description/>
  <cp:lastModifiedBy>Alfonso Morales</cp:lastModifiedBy>
  <cp:revision/>
  <cp:lastPrinted>2024-11-22T19:48:14Z</cp:lastPrinted>
  <dcterms:created xsi:type="dcterms:W3CDTF">2015-04-10T01:02:50Z</dcterms:created>
  <dcterms:modified xsi:type="dcterms:W3CDTF">2025-11-14T16:41:51Z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0x0101003A1B7ADC0E0BF743BDAFDC3AD1898806</vt:lpwstr>
  </property>
</Properties>
</file>
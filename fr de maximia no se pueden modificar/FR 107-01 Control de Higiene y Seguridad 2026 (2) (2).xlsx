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v\Downloads\"/>
    </mc:Choice>
  </mc:AlternateContent>
  <xr:revisionPtr revIDLastSave="0" documentId="8_{9BB0B940-55D1-460F-BCB4-76189C103F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 107-05 Control de HyS" sheetId="1" r:id="rId1"/>
  </sheets>
  <definedNames>
    <definedName name="_xlnm._FilterDatabase" localSheetId="0" hidden="1">'FR 107-05 Control de HyS'!$A$11:$L$11</definedName>
    <definedName name="_xlnm.Print_Area" localSheetId="0">'FR 107-05 Control de HyS'!$A$10:$L$245</definedName>
    <definedName name="_xlnm.Print_Titles" localSheetId="0">'FR 107-05 Control de HyS'!#REF!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1" l="1"/>
  <c r="F245" i="1" l="1"/>
  <c r="E245" i="1"/>
  <c r="D245" i="1"/>
  <c r="C245" i="1"/>
  <c r="F239" i="1"/>
  <c r="E239" i="1"/>
  <c r="D239" i="1"/>
  <c r="C239" i="1"/>
  <c r="C233" i="1"/>
  <c r="F233" i="1"/>
  <c r="E233" i="1"/>
  <c r="D233" i="1"/>
  <c r="G233" i="1" s="1"/>
  <c r="F227" i="1"/>
  <c r="E227" i="1"/>
  <c r="D227" i="1"/>
  <c r="C227" i="1"/>
  <c r="G227" i="1" s="1"/>
  <c r="C214" i="1"/>
  <c r="F214" i="1"/>
  <c r="E214" i="1"/>
  <c r="D214" i="1"/>
  <c r="F211" i="1"/>
  <c r="E211" i="1"/>
  <c r="D211" i="1"/>
  <c r="C211" i="1"/>
  <c r="G211" i="1" s="1"/>
  <c r="F202" i="1"/>
  <c r="E202" i="1"/>
  <c r="D202" i="1"/>
  <c r="C19" i="1"/>
  <c r="C202" i="1"/>
  <c r="C187" i="1"/>
  <c r="F187" i="1"/>
  <c r="E187" i="1"/>
  <c r="D187" i="1"/>
  <c r="C180" i="1"/>
  <c r="F180" i="1"/>
  <c r="E180" i="1"/>
  <c r="D180" i="1"/>
  <c r="F173" i="1"/>
  <c r="G165" i="1" s="1"/>
  <c r="E173" i="1"/>
  <c r="D173" i="1"/>
  <c r="C173" i="1"/>
  <c r="G173" i="1" s="1"/>
  <c r="F164" i="1"/>
  <c r="E164" i="1"/>
  <c r="D164" i="1"/>
  <c r="C164" i="1"/>
  <c r="F155" i="1"/>
  <c r="E155" i="1"/>
  <c r="D155" i="1"/>
  <c r="C155" i="1"/>
  <c r="C140" i="1"/>
  <c r="F140" i="1"/>
  <c r="E140" i="1"/>
  <c r="D140" i="1"/>
  <c r="F133" i="1"/>
  <c r="G118" i="1" s="1"/>
  <c r="E133" i="1"/>
  <c r="D133" i="1"/>
  <c r="C133" i="1"/>
  <c r="G133" i="1" s="1"/>
  <c r="F117" i="1"/>
  <c r="E117" i="1"/>
  <c r="D117" i="1"/>
  <c r="C117" i="1"/>
  <c r="F93" i="1"/>
  <c r="E93" i="1"/>
  <c r="D93" i="1"/>
  <c r="C93" i="1"/>
  <c r="G93" i="1" s="1"/>
  <c r="F77" i="1"/>
  <c r="E77" i="1"/>
  <c r="D77" i="1"/>
  <c r="C77" i="1"/>
  <c r="G77" i="1" s="1"/>
  <c r="F69" i="1"/>
  <c r="G54" i="1" s="1"/>
  <c r="E69" i="1"/>
  <c r="D69" i="1"/>
  <c r="G69" i="1" s="1"/>
  <c r="C53" i="1"/>
  <c r="F53" i="1"/>
  <c r="E53" i="1"/>
  <c r="D53" i="1"/>
  <c r="F45" i="1"/>
  <c r="E45" i="1"/>
  <c r="D45" i="1"/>
  <c r="C45" i="1"/>
  <c r="F37" i="1"/>
  <c r="E37" i="1"/>
  <c r="D37" i="1"/>
  <c r="C37" i="1"/>
  <c r="F29" i="1"/>
  <c r="G26" i="1" s="1"/>
  <c r="E29" i="1"/>
  <c r="D29" i="1"/>
  <c r="C29" i="1"/>
  <c r="G29" i="1" s="1"/>
  <c r="F25" i="1"/>
  <c r="E25" i="1"/>
  <c r="D25" i="1"/>
  <c r="C25" i="1"/>
  <c r="F19" i="1"/>
  <c r="E19" i="1"/>
  <c r="D19" i="1"/>
  <c r="A15" i="1"/>
  <c r="A20" i="1"/>
  <c r="A26" i="1"/>
  <c r="A30" i="1"/>
  <c r="A38" i="1"/>
  <c r="A46" i="1"/>
  <c r="A54" i="1"/>
  <c r="A70" i="1"/>
  <c r="A78" i="1"/>
  <c r="A94" i="1"/>
  <c r="A118" i="1"/>
  <c r="A134" i="1"/>
  <c r="A141" i="1"/>
  <c r="A156" i="1"/>
  <c r="A165" i="1"/>
  <c r="A175" i="1"/>
  <c r="A181" i="1"/>
  <c r="A188" i="1"/>
  <c r="A203" i="1"/>
  <c r="A212" i="1"/>
  <c r="A215" i="1"/>
  <c r="A228" i="1"/>
  <c r="A234" i="1"/>
  <c r="A240" i="1"/>
  <c r="G187" i="1" l="1"/>
  <c r="G239" i="1"/>
  <c r="G214" i="1"/>
  <c r="G180" i="1"/>
  <c r="G164" i="1"/>
  <c r="G155" i="1"/>
  <c r="G140" i="1"/>
  <c r="G117" i="1"/>
  <c r="F11" i="1"/>
  <c r="G53" i="1"/>
  <c r="D11" i="1"/>
  <c r="G45" i="1"/>
  <c r="G37" i="1"/>
  <c r="E11" i="1"/>
  <c r="G25" i="1"/>
  <c r="G20" i="1"/>
  <c r="G30" i="1"/>
  <c r="G38" i="1"/>
  <c r="G70" i="1"/>
  <c r="G78" i="1"/>
  <c r="G94" i="1"/>
  <c r="G141" i="1"/>
  <c r="G156" i="1"/>
  <c r="G212" i="1"/>
  <c r="G228" i="1"/>
  <c r="G202" i="1"/>
  <c r="R188" i="1" s="1"/>
  <c r="G188" i="1"/>
  <c r="G203" i="1"/>
  <c r="G215" i="1"/>
  <c r="G234" i="1"/>
  <c r="G240" i="1"/>
  <c r="D12" i="1"/>
  <c r="G245" i="1"/>
  <c r="R240" i="1" s="1"/>
  <c r="E12" i="1"/>
  <c r="G19" i="1"/>
  <c r="G46" i="1"/>
  <c r="G134" i="1"/>
  <c r="G175" i="1"/>
  <c r="G181" i="1"/>
  <c r="C11" i="1"/>
  <c r="C12" i="1"/>
  <c r="G15" i="1"/>
  <c r="A11" i="1"/>
  <c r="D13" i="1" l="1"/>
  <c r="R46" i="1"/>
  <c r="R175" i="1"/>
  <c r="G12" i="1"/>
  <c r="R181" i="1"/>
  <c r="R94" i="1"/>
  <c r="E13" i="1"/>
  <c r="R30" i="1"/>
  <c r="R212" i="1"/>
  <c r="R165" i="1"/>
  <c r="R78" i="1"/>
  <c r="R20" i="1"/>
  <c r="R118" i="1"/>
  <c r="R134" i="1"/>
  <c r="F13" i="1"/>
  <c r="C13" i="1"/>
  <c r="R141" i="1"/>
  <c r="R228" i="1"/>
  <c r="R203" i="1"/>
  <c r="R26" i="1"/>
  <c r="G13" i="1"/>
  <c r="R234" i="1"/>
  <c r="R15" i="1"/>
  <c r="R38" i="1"/>
  <c r="R215" i="1"/>
  <c r="R156" i="1"/>
  <c r="R54" i="1"/>
  <c r="R70" i="1"/>
  <c r="H12" i="1" l="1"/>
  <c r="A5" i="1" s="1"/>
  <c r="R13" i="1"/>
</calcChain>
</file>

<file path=xl/sharedStrings.xml><?xml version="1.0" encoding="utf-8"?>
<sst xmlns="http://schemas.openxmlformats.org/spreadsheetml/2006/main" count="577" uniqueCount="235">
  <si>
    <t> </t>
  </si>
  <si>
    <t>FORMULARIO</t>
  </si>
  <si>
    <t>FR 107/01</t>
  </si>
  <si>
    <t>Control de Higiene y Seguridad</t>
  </si>
  <si>
    <t>Vigencia 01/04/2024</t>
  </si>
  <si>
    <t>Operación:</t>
  </si>
  <si>
    <t xml:space="preserve"> Ramallo </t>
  </si>
  <si>
    <t>Fecha:</t>
  </si>
  <si>
    <t>Responsable de la Operación:</t>
  </si>
  <si>
    <t>Rocio Ceballos</t>
  </si>
  <si>
    <t>Auditor:</t>
  </si>
  <si>
    <t>Fernando Vidal </t>
  </si>
  <si>
    <t xml:space="preserve"> </t>
  </si>
  <si>
    <t>Cliente:</t>
  </si>
  <si>
    <t>Criterio: C=Cumple / CP=Cumple parcialmente / NC= No cumple / NA= No aplica</t>
  </si>
  <si>
    <t>ITEMS</t>
  </si>
  <si>
    <t>PUNTOS DE CHEQUEO (completar con "x" cuando corresponda)</t>
  </si>
  <si>
    <t>CUMPLE</t>
  </si>
  <si>
    <t>CUMPLE PARCIAL</t>
  </si>
  <si>
    <t>NO CUMPLE</t>
  </si>
  <si>
    <t>NO APLICA</t>
  </si>
  <si>
    <t>PTOS. OBT.</t>
  </si>
  <si>
    <t>% DE CUMPLIMIENTO</t>
  </si>
  <si>
    <t>NORMATIVA DE REFERENCIA</t>
  </si>
  <si>
    <t>PUNTAJES OBTENIDOS</t>
  </si>
  <si>
    <t>Tipo</t>
  </si>
  <si>
    <t>N°</t>
  </si>
  <si>
    <t>Año</t>
  </si>
  <si>
    <t>Capítulo</t>
  </si>
  <si>
    <t>Art. N°, Inc.</t>
  </si>
  <si>
    <t>%</t>
  </si>
  <si>
    <t>PUNTAJE MÁXIMO</t>
  </si>
  <si>
    <t>SERVICIO DE HIGIENE Y SEGURIDAD EN EL TRABAJO</t>
  </si>
  <si>
    <t>¿ Dispone del Servicio de Higiene y Seguridad?</t>
  </si>
  <si>
    <t>x</t>
  </si>
  <si>
    <t>Decreto</t>
  </si>
  <si>
    <t>¿ Posee documentación actualizada sobre análisis de riesgos y medidas preventivas, en los puestos de trabajo?</t>
  </si>
  <si>
    <t>¿ Posee documentación actualizada sobre acciones tales como de educación sanitaria, socorro, vacunación y estudios de ausentismo por morbilidad?</t>
  </si>
  <si>
    <t>SERVICIO DE MEDICINA DEL TRABAJO</t>
  </si>
  <si>
    <t>¿ Dispone del Servicio de Medicina del Trabajo?</t>
  </si>
  <si>
    <t xml:space="preserve">¿ Se realizan los exámenes periódicos?  </t>
  </si>
  <si>
    <t>Ley</t>
  </si>
  <si>
    <t>9 a)</t>
  </si>
  <si>
    <t>Resolución</t>
  </si>
  <si>
    <t>ASEGURADORA DE RIESGOS DEL TRABAJO</t>
  </si>
  <si>
    <t xml:space="preserve">¿ Se encuentra afiliada a una A.R.T.? </t>
  </si>
  <si>
    <t>VIII</t>
  </si>
  <si>
    <t>Se registran Constancias de visita? (verificar fecha y recomendaciones)</t>
  </si>
  <si>
    <t>HERRAMIENTAS</t>
  </si>
  <si>
    <t xml:space="preserve">¿Las herramientas están en estado de conservación adecuado ?  </t>
  </si>
  <si>
    <t>9 b)</t>
  </si>
  <si>
    <t xml:space="preserve">¿La empresa provee herramientas aptas y seguras ?  </t>
  </si>
  <si>
    <t xml:space="preserve">103 y110                                                              </t>
  </si>
  <si>
    <t>¿ Las portátiles eléctricas poseen protecciones para evitar riesgos ?</t>
  </si>
  <si>
    <t xml:space="preserve">103 y110                                                               </t>
  </si>
  <si>
    <t>MÁQUINAS Y HERRAMIENTAS</t>
  </si>
  <si>
    <t xml:space="preserve">¿Tienen las máquinas y herramientas, protecciones para evitar riesgos al trabajador?  </t>
  </si>
  <si>
    <t>8 b)</t>
  </si>
  <si>
    <t>103, 104,105,106,107 y110</t>
  </si>
  <si>
    <t xml:space="preserve">¿Tienen las máquinas eléctricas, sistema de puesta a tierra? </t>
  </si>
  <si>
    <t>falta en el área administrativa</t>
  </si>
  <si>
    <t>Anexo VI Pto 3.3.1</t>
  </si>
  <si>
    <t xml:space="preserve">¿Están identificadas conforme a normas IRAM todas las partes de máquinas y equipos que en accionamiento puedan causar daño a los trabajadores? </t>
  </si>
  <si>
    <t>9 j)</t>
  </si>
  <si>
    <t>77, 78 y 81</t>
  </si>
  <si>
    <t>ESPACIOS DE TRABAJO</t>
  </si>
  <si>
    <t xml:space="preserve">¿Existe orden y limpieza en los puestos de trabajo? </t>
  </si>
  <si>
    <t>falta limpieza en general</t>
  </si>
  <si>
    <t xml:space="preserve">8 a) y 9 e) </t>
  </si>
  <si>
    <t xml:space="preserve">¿Existen depósito de residuos en los puestos de trabajo? </t>
  </si>
  <si>
    <t xml:space="preserve">Tienen las salientes y partes móviles de máquinas y/o instalaciones, señalización y/o protección ? </t>
  </si>
  <si>
    <t>mesadas de cocina con partes salientes y cortantes</t>
  </si>
  <si>
    <t xml:space="preserve"> 9  j) </t>
  </si>
  <si>
    <t>PROTECCION CONTRA INCENDIOS</t>
  </si>
  <si>
    <t xml:space="preserve">¿Existen medios o vías de escape adecuadas en caso de incendio? </t>
  </si>
  <si>
    <t>¿ La cantidad de matafuegos es acorde a la carga de fuego?</t>
  </si>
  <si>
    <t xml:space="preserve">9 g) </t>
  </si>
  <si>
    <t>175 y 176</t>
  </si>
  <si>
    <t xml:space="preserve">¿ Se registra el control de recargas y/o reparación ? </t>
  </si>
  <si>
    <t>183 a 186</t>
  </si>
  <si>
    <t>¿ Se registra el control de prueba hidráulica de carros y/o matafuegos?</t>
  </si>
  <si>
    <t>183 a 185</t>
  </si>
  <si>
    <t xml:space="preserve">¿Cuentan con habilitación, los carros y/o matafuegos y demás instalaciones para  extinción? </t>
  </si>
  <si>
    <t>Art.183</t>
  </si>
  <si>
    <t>¿ El depósito de combustibles cumple con la legislación vigente?</t>
  </si>
  <si>
    <t>164 a 168</t>
  </si>
  <si>
    <t>¿ Se acredita la realización periódica de simulacros de evacuación ?</t>
  </si>
  <si>
    <t>9 k)</t>
  </si>
  <si>
    <t>¿ Se disponen de estanterías o elementos equivalentes de material no combustible o metálico?</t>
  </si>
  <si>
    <t>hay mesadas con la parte inferior y pallets de madera</t>
  </si>
  <si>
    <t xml:space="preserve">9 h) </t>
  </si>
  <si>
    <t>¿ Se separan en forma alternada, las de materiales combustibles con las no combustibles y las que puedan reaccionar entre si?</t>
  </si>
  <si>
    <t>ALMACENAJE</t>
  </si>
  <si>
    <t xml:space="preserve">¿Se almacenan los productos respetando la distancia mínima de 1 m entre la parte superior de las estibas y el techo?  </t>
  </si>
  <si>
    <t>9 h)</t>
  </si>
  <si>
    <t xml:space="preserve">¿Los sistemas de almacenaje permiten una adecuada circulación? </t>
  </si>
  <si>
    <t>8 d)</t>
  </si>
  <si>
    <t>42 y 43</t>
  </si>
  <si>
    <t xml:space="preserve">¿En los almacenajes a granel, las estibas cuentan con elementos de contención? </t>
  </si>
  <si>
    <t>TRABAJOS CON RIESGOS ESPECIALES</t>
  </si>
  <si>
    <t xml:space="preserve">¿Su fabricación y/o manipuleo cumplimenta la legislación vigente? </t>
  </si>
  <si>
    <t>145 y 147 a 150</t>
  </si>
  <si>
    <t>¿Las instalaciones y equipos se encuentran protegidos contra el efecto corrosivo de las sustancias empleadas?</t>
  </si>
  <si>
    <t>8 b) y d)</t>
  </si>
  <si>
    <t xml:space="preserve">¿ Se fabrican, depositan o manipulan sustancias explosivas, teniendo en cuenta lo reglamentado por Fabricaciones Militares ? </t>
  </si>
  <si>
    <t>8 a), b), c) y d)</t>
  </si>
  <si>
    <t xml:space="preserve">¿Existen dispositivos de alarma acústico y visuales donde se manipulen sustancias infectantes y/o contaminantes? </t>
  </si>
  <si>
    <t>8 a) b) y d)</t>
  </si>
  <si>
    <t>¿ Se ha señalizado y resguardado la zona o los elementos afectados ante casos de derrame de sustancias corrosivas?</t>
  </si>
  <si>
    <t xml:space="preserve"> 8 a) b) y d)</t>
  </si>
  <si>
    <t>¿Se ha evitado la acumulación de desechos orgánicos en estado de putrefacción, e implementado la desinfección correspondiente?</t>
  </si>
  <si>
    <t xml:space="preserve">9 e) </t>
  </si>
  <si>
    <t>¿Se confeccionó un plan de seguridad para casos de emergencia, y se colocó en lugar visible?</t>
  </si>
  <si>
    <t>j) y k)</t>
  </si>
  <si>
    <t>RIESGO ELÉCTRICO</t>
  </si>
  <si>
    <t xml:space="preserve">¿Están todos los cableados eléctricos adecuadamente contenidos? </t>
  </si>
  <si>
    <t>cables decubiertos en depósito y área administrativa</t>
  </si>
  <si>
    <t>9 d)</t>
  </si>
  <si>
    <t>95 y 96</t>
  </si>
  <si>
    <t xml:space="preserve">¿Los conectores eléctricos se encuentran en buen estado? </t>
  </si>
  <si>
    <t>¿ Las instalaciones y equipos eléctricos cumplen con la legislación?</t>
  </si>
  <si>
    <t>¿ Las tareas de mantenimiento son efectuadas por personal capacitado y autorizado por la empresa?</t>
  </si>
  <si>
    <t xml:space="preserve">8 d) </t>
  </si>
  <si>
    <t xml:space="preserve">¿ Se efectúa y registra los resultados del mantenimiento de las instalaciones, en base a programas confeccionados de acuerdo a normas de seguridad? </t>
  </si>
  <si>
    <t>¿Los proyectos de instalaciones y equipos eléctricos de más de 1000 voltios cumplimentan con lo establecido en la legislación vigente y están aprobados por el responsable de Higiene y Seguridad en el rubro de su competencia?</t>
  </si>
  <si>
    <t>¿ Se adoptan las medidas de seguridad en locales donde se manipule sustancias corrosivas, inflamables y/o explosivas ó de alto riesgo y en  locales húmedos ?</t>
  </si>
  <si>
    <t>Se han adoptado las medidas para la protección contra riesgos de contactos directos e indirectos?</t>
  </si>
  <si>
    <t>falta puesta a tierra</t>
  </si>
  <si>
    <t xml:space="preserve">8 b) </t>
  </si>
  <si>
    <t>100 y punto 3.3.2. Anexo VI</t>
  </si>
  <si>
    <t>¿ Se han adoptado medidas para eliminar la electricidad estática en todas las operaciones que pueda producirse?</t>
  </si>
  <si>
    <t>101 y punto 3.6 Anexo VI</t>
  </si>
  <si>
    <t>¿ Posee instalación para prevenir sobretensiones producidas por descargas atmosféricas( pararrayos)?</t>
  </si>
  <si>
    <t>¿ Poseen las instalaciones tomas a tierra independientes de la instalada para descargas atmosféricas?</t>
  </si>
  <si>
    <t>102 y Anexo VI, pto. 3.3.1</t>
  </si>
  <si>
    <t>APARATOS SOMETIDOS A PRESIÓN</t>
  </si>
  <si>
    <t xml:space="preserve">¿Se realizan los controles e inspecciones peródicas establecidos? </t>
  </si>
  <si>
    <t xml:space="preserve">9 b) </t>
  </si>
  <si>
    <t xml:space="preserve">¿ Se han fijado las instrucciones detalladas con esquemas de la instalación,  y los procedimientos operativos? </t>
  </si>
  <si>
    <t>¿Se protegen los hornos, calderas, etc., para evitar la acción del calor?</t>
  </si>
  <si>
    <t xml:space="preserve">¿Están los cilindros que contengan gases sometidos a presión adecuadamente almacenados? </t>
  </si>
  <si>
    <t xml:space="preserve">¿Los restantes aparatos sometidos a presión, cuentan con dispositivos de protección y seguridad? </t>
  </si>
  <si>
    <t>141 y 143</t>
  </si>
  <si>
    <t xml:space="preserve">¿Cuenta el operador con la capacitación y/o habilitación pertinente? </t>
  </si>
  <si>
    <t>¿ Están aislados y convenientemente ventilados los aparatos capaces de producir frío, con posibilidad de desprendimiento de contaminantes?</t>
  </si>
  <si>
    <t>EQUIPOS Y ELEMENTOS DE PROTECCIÓN PERSONAL ( E.P.P.)</t>
  </si>
  <si>
    <t xml:space="preserve">¿Se provee a todos los trabajadores, de los elementos de protección personal adecuado, acorde a los riesgos a los que se hallan expuestos? </t>
  </si>
  <si>
    <t>falta uniformes para cambio</t>
  </si>
  <si>
    <t xml:space="preserve">8 c) </t>
  </si>
  <si>
    <t>188 a 190</t>
  </si>
  <si>
    <t xml:space="preserve">¿ Existen señalizaciones visibles en los puestos y/o  lugares de trabajo sobre la obligatoriedad del uso de los elementos de protección personal?  </t>
  </si>
  <si>
    <t>¿ Se verifica la  existencia de registros de entrega de los E.P.P.? (Protocolo)</t>
  </si>
  <si>
    <t>ILUMINACION Y COLOR</t>
  </si>
  <si>
    <t>¿ Se cumple con los requisitos de iluminación establecidos en la legislación vigente? (Protocolo)</t>
  </si>
  <si>
    <t>8 a)</t>
  </si>
  <si>
    <t>¿ Se ha instalado un sistema de iluminación de emergencia, en  casos necesarios, acorde a los requerimientos de la legislación vigente?</t>
  </si>
  <si>
    <t xml:space="preserve">¿ Se registran las mediciones en los puestos y/o lugares de trabajo? </t>
  </si>
  <si>
    <t xml:space="preserve">73 a 75 </t>
  </si>
  <si>
    <t xml:space="preserve">¿Los niveles existentes cumplen con la legislación vigente? </t>
  </si>
  <si>
    <t xml:space="preserve">¿ Existe marcación visible de pasillos, circulaciones de tránsito y lugares de cruce donde circulen cargas suspendidas y otros elementos de transporte? </t>
  </si>
  <si>
    <t xml:space="preserve">9 j) </t>
  </si>
  <si>
    <t>¿Se encuentran señalizados los caminos de evacuación en caso de peligro e indicadas las salidas normales y de emergencia?</t>
  </si>
  <si>
    <t>172 inc.2)</t>
  </si>
  <si>
    <t>¿ Se encuentran identificadas las cañerías?</t>
  </si>
  <si>
    <t>CONDICIONES HIGROTERMICAS</t>
  </si>
  <si>
    <t xml:space="preserve">¿El personal sometido a carga térmica, está protegido adecuadamente? </t>
  </si>
  <si>
    <t>en estaciones de primavera-verano no cumple con carga térmica-faltan camperas para equipos de frío</t>
  </si>
  <si>
    <t>8 inc. a)</t>
  </si>
  <si>
    <t>60 y Anexo II</t>
  </si>
  <si>
    <t xml:space="preserve">8 inc. a) </t>
  </si>
  <si>
    <t xml:space="preserve">¿Se adoptaron las correcciones en los puestos y/o lugares de trabajo? </t>
  </si>
  <si>
    <t>realizar estudio de carga térmica para definir controles</t>
  </si>
  <si>
    <t>60 inc. 4</t>
  </si>
  <si>
    <t>PROVISIÓN DE AGUA</t>
  </si>
  <si>
    <t xml:space="preserve">¿Existe provisión de agua potable para el consumo e higiene de los trabajadores? </t>
  </si>
  <si>
    <t>¿ Se registran los análisis bacteriológico y físico químico del agua de consumo humano con la frecuencia requerida?</t>
  </si>
  <si>
    <t>57 y 58</t>
  </si>
  <si>
    <t>Resolución MTS</t>
  </si>
  <si>
    <t xml:space="preserve">¿ Se ha evitado el consumo humano del agua para uso industrial? </t>
  </si>
  <si>
    <t>DESAGÜES</t>
  </si>
  <si>
    <t>¿Se recogen y canalizan por conductos, impidiendo su libre escurrimiento?</t>
  </si>
  <si>
    <t>falta arreglar desagües</t>
  </si>
  <si>
    <t>¿ Se ha evitado el contacto de líquidos que puedan reaccionar originando desprendimiento de gases tóxicos ó contaminantes?</t>
  </si>
  <si>
    <t>¿ Son evacuados los efluentes a plantas de tratamiento?</t>
  </si>
  <si>
    <t>¿ Se limpia periódicamente la planta de tratamiento, con las precauciones necesarias de protección para el personal que efectúe estas tareas?</t>
  </si>
  <si>
    <t>BAÑOS, VESTUARIOS Y COMEDORES</t>
  </si>
  <si>
    <t xml:space="preserve">¿Existen baños aptos higiénicamente? </t>
  </si>
  <si>
    <t>falta personal de limpieza</t>
  </si>
  <si>
    <t>46 a 49</t>
  </si>
  <si>
    <t xml:space="preserve">¿Existen vestuarios aptos higiénicamente? </t>
  </si>
  <si>
    <t>faltan vestuarios</t>
  </si>
  <si>
    <t xml:space="preserve">50 y 51  </t>
  </si>
  <si>
    <t xml:space="preserve">¿Existen comedores aptos higiénicamente? </t>
  </si>
  <si>
    <t>¿La cocina reúne los requisitos establecidos?</t>
  </si>
  <si>
    <t>ediliciamente no cumple</t>
  </si>
  <si>
    <t>¿Los establecimientos temporarios cumplen con las exigencias de la legislación vigente?</t>
  </si>
  <si>
    <t>APARATOS PARA IZAR, MONTACARGAS Y ASCENSORES</t>
  </si>
  <si>
    <t xml:space="preserve">¿Se encuentra identificada la carga máxima en dichos equipos? </t>
  </si>
  <si>
    <t>114 y 122</t>
  </si>
  <si>
    <t xml:space="preserve">¿Poseen parada de máximo nivel de sobrecarga en el sistema de fuerza motriz? </t>
  </si>
  <si>
    <t xml:space="preserve">¿Se halla la alimentación eléctrica del equipo en buenas condiciones? </t>
  </si>
  <si>
    <t xml:space="preserve">¿Tienen los ganchos de izar traba de seguridad? </t>
  </si>
  <si>
    <t xml:space="preserve">¿Se registra el mantenimiento preventivo de estos equipos? </t>
  </si>
  <si>
    <t xml:space="preserve">¿Reciben los operadores instrucción respecto a la operación y uso correcto del equipo de izar? </t>
  </si>
  <si>
    <t>208 a 210</t>
  </si>
  <si>
    <t>¿ Los ascensores y montacargas cumplen los requisitos y condiciones máximas de seguridad en lo relativo a la construcción, instalación y mantenimiento?</t>
  </si>
  <si>
    <t>¿ Los aparatos para izar, aparejos, puentes grúa, transportadores cumplen los requisitos y condiciones máximas de seguridad ?</t>
  </si>
  <si>
    <t>114 a 132</t>
  </si>
  <si>
    <t>CAPACITACIÓN</t>
  </si>
  <si>
    <t>¿ Se capacita a los trabajadores acerca  de los riesgos específicos a los que se encuentren expuestos en su  puesto de trabajo?</t>
  </si>
  <si>
    <t>¿ Existen programas de capacitación con planificación en forma anual?</t>
  </si>
  <si>
    <t>¿ Se entrega por escrito al personal las medidas preventivas tendientes a evitar las enfermedades profesionales y accidentes de trabajo?</t>
  </si>
  <si>
    <t>PRIMEROS AUXILIOS</t>
  </si>
  <si>
    <t xml:space="preserve">¿Existen botiquines de primeros auxilios acorde a los riesgos existentes? </t>
  </si>
  <si>
    <t>9 i)</t>
  </si>
  <si>
    <t>VEHÍCULOS</t>
  </si>
  <si>
    <t xml:space="preserve">¿Cuentan los vehículos con los elementos de seguridad? </t>
  </si>
  <si>
    <t xml:space="preserve">¿ Se ha evitado la utilización de vehículos con motor a explosión  en lugares con peligro de incendio o explosión, ó bien aquellos cuentan con dispositivos de seguridad apropiados para evitar dichos riesgos? </t>
  </si>
  <si>
    <t>¿ Disponen de asientos que neutralicen las vibraciones, tengan respaldo y apoya pies?</t>
  </si>
  <si>
    <t xml:space="preserve">¿Son adecuadas las cabinas de protección para las inclemencias del tiempo? </t>
  </si>
  <si>
    <t xml:space="preserve">¿Son adecuadas las cabinas para proteger del riesgo de vuelco? </t>
  </si>
  <si>
    <t xml:space="preserve">¿Están protegidas para los riesgos de desplazamiento de cargas? </t>
  </si>
  <si>
    <t xml:space="preserve">¿Poseen los operadores capacitación respecto a los riesgos inherentes al vehículo que conducen? </t>
  </si>
  <si>
    <t xml:space="preserve"> 208 y 209</t>
  </si>
  <si>
    <t xml:space="preserve">¿Están los vehículos equipados con luces, frenos, dispositivo de aviso acústico y matafuegos? </t>
  </si>
  <si>
    <t>¿ Se cumplen las condiciones que deben reunir los ferrocarriles para el transporte interno?</t>
  </si>
  <si>
    <t>CONTAMINACIÓN  AMBIENTAL</t>
  </si>
  <si>
    <t>no se han realizado mediciones de este tipo</t>
  </si>
  <si>
    <t>61 incs. 2 y 3</t>
  </si>
  <si>
    <t>9 c)</t>
  </si>
  <si>
    <t xml:space="preserve"> RUIDOS </t>
  </si>
  <si>
    <t xml:space="preserve">¿ Se registran las mediciones de nivel sonoro continuo equivalente en los puestos y/o lugares de trabajo? </t>
  </si>
  <si>
    <t>85 y 86</t>
  </si>
  <si>
    <t>9 f)</t>
  </si>
  <si>
    <t>VIBRACIONES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</si>
</sst>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color rgb="FF000000"/>
      <name val="Arial"/>
      <family val="2"/>
    </font>
    <font>
      <sz val="10"/>
      <color indexed="23"/>
      <name val="Arial"/>
      <family val="2"/>
    </font>
    <font>
      <b/>
      <sz val="11"/>
      <color rgb="FF242424"/>
      <name val="Aptos Narrow"/>
      <family val="2"/>
    </font>
    <font>
      <b/>
      <sz val="10"/>
      <color rgb="FF000000"/>
      <name val="Arial"/>
      <family val="2"/>
    </font>
    <font>
      <b/>
      <sz val="16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6"/>
      <color rgb="FF0D0D0D"/>
      <name val="Arial"/>
      <family val="2"/>
    </font>
    <font>
      <b/>
      <sz val="12"/>
      <color rgb="FF0D0D0D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20"/>
      <color rgb="FFFFFFFF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20376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17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32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62" xfId="0" applyBorder="1" applyAlignment="1">
      <alignment horizontal="left" vertical="center" wrapText="1"/>
    </xf>
    <xf numFmtId="0" fontId="7" fillId="8" borderId="0" xfId="0" applyFont="1" applyFill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7" fillId="0" borderId="0" xfId="0" applyFont="1" applyAlignment="1">
      <alignment horizontal="center" vertical="center"/>
    </xf>
    <xf numFmtId="0" fontId="14" fillId="7" borderId="67" xfId="0" applyFont="1" applyFill="1" applyBorder="1" applyAlignment="1">
      <alignment vertical="center" wrapText="1"/>
    </xf>
    <xf numFmtId="0" fontId="14" fillId="7" borderId="6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4" fillId="6" borderId="11" xfId="0" applyFont="1" applyFill="1" applyBorder="1" applyAlignment="1">
      <alignment vertical="center" wrapText="1"/>
    </xf>
    <xf numFmtId="0" fontId="10" fillId="10" borderId="0" xfId="0" applyFont="1" applyFill="1"/>
    <xf numFmtId="0" fontId="0" fillId="11" borderId="66" xfId="0" applyFill="1" applyBorder="1" applyAlignment="1">
      <alignment horizontal="left" vertical="center" wrapText="1"/>
    </xf>
    <xf numFmtId="0" fontId="0" fillId="11" borderId="66" xfId="0" applyFill="1" applyBorder="1" applyAlignment="1">
      <alignment horizontal="center" vertical="center" wrapText="1"/>
    </xf>
    <xf numFmtId="0" fontId="0" fillId="11" borderId="0" xfId="0" applyFill="1" applyAlignment="1">
      <alignment horizontal="left" vertical="center" wrapText="1"/>
    </xf>
    <xf numFmtId="0" fontId="0" fillId="11" borderId="0" xfId="0" applyFill="1" applyAlignment="1">
      <alignment horizontal="center" vertical="center" wrapText="1"/>
    </xf>
    <xf numFmtId="0" fontId="0" fillId="11" borderId="50" xfId="0" applyFill="1" applyBorder="1" applyAlignment="1">
      <alignment horizontal="left" vertical="center" wrapText="1"/>
    </xf>
    <xf numFmtId="0" fontId="0" fillId="11" borderId="50" xfId="0" applyFill="1" applyBorder="1" applyAlignment="1">
      <alignment horizontal="center" vertical="center" wrapText="1"/>
    </xf>
    <xf numFmtId="0" fontId="9" fillId="10" borderId="66" xfId="0" applyFont="1" applyFill="1" applyBorder="1" applyAlignment="1">
      <alignment horizontal="right"/>
    </xf>
    <xf numFmtId="0" fontId="9" fillId="10" borderId="0" xfId="0" applyFont="1" applyFill="1" applyAlignment="1">
      <alignment horizontal="right"/>
    </xf>
    <xf numFmtId="0" fontId="17" fillId="10" borderId="50" xfId="0" applyFont="1" applyFill="1" applyBorder="1" applyAlignment="1">
      <alignment horizontal="right"/>
    </xf>
    <xf numFmtId="0" fontId="7" fillId="0" borderId="67" xfId="0" applyFont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7" fillId="0" borderId="28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2" fillId="7" borderId="68" xfId="0" applyFont="1" applyFill="1" applyBorder="1" applyAlignment="1">
      <alignment horizontal="center" vertical="center" wrapText="1"/>
    </xf>
    <xf numFmtId="0" fontId="2" fillId="7" borderId="66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14" fillId="6" borderId="64" xfId="0" applyFont="1" applyFill="1" applyBorder="1" applyAlignment="1">
      <alignment horizontal="righ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9" fontId="14" fillId="6" borderId="64" xfId="0" applyNumberFormat="1" applyFont="1" applyFill="1" applyBorder="1" applyAlignment="1">
      <alignment horizontal="center" vertical="center" wrapText="1"/>
    </xf>
    <xf numFmtId="1" fontId="7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3" fontId="0" fillId="0" borderId="34" xfId="0" applyNumberFormat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21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30" xfId="0" applyNumberForma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7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37" xfId="0" applyBorder="1" applyAlignment="1">
      <alignment vertical="center" wrapText="1"/>
    </xf>
    <xf numFmtId="0" fontId="0" fillId="0" borderId="32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3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41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6" fillId="8" borderId="63" xfId="0" applyFont="1" applyFill="1" applyBorder="1" applyAlignment="1">
      <alignment horizontal="center" vertical="center" wrapText="1"/>
    </xf>
    <xf numFmtId="0" fontId="16" fillId="8" borderId="23" xfId="0" applyFont="1" applyFill="1" applyBorder="1" applyAlignment="1">
      <alignment horizontal="center" vertical="center" wrapText="1"/>
    </xf>
    <xf numFmtId="0" fontId="13" fillId="5" borderId="64" xfId="0" applyFont="1" applyFill="1" applyBorder="1" applyAlignment="1">
      <alignment horizontal="left"/>
    </xf>
    <xf numFmtId="0" fontId="13" fillId="5" borderId="65" xfId="0" applyFont="1" applyFill="1" applyBorder="1" applyAlignment="1">
      <alignment horizontal="left"/>
    </xf>
    <xf numFmtId="9" fontId="18" fillId="9" borderId="91" xfId="0" applyNumberFormat="1" applyFont="1" applyFill="1" applyBorder="1" applyAlignment="1">
      <alignment horizontal="center" vertical="center"/>
    </xf>
    <xf numFmtId="0" fontId="18" fillId="9" borderId="92" xfId="0" applyFont="1" applyFill="1" applyBorder="1" applyAlignment="1">
      <alignment horizontal="center" vertical="center"/>
    </xf>
    <xf numFmtId="0" fontId="18" fillId="9" borderId="93" xfId="0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0" fillId="10" borderId="81" xfId="0" applyFont="1" applyFill="1" applyBorder="1"/>
    <xf numFmtId="0" fontId="10" fillId="10" borderId="83" xfId="0" applyFont="1" applyFill="1" applyBorder="1"/>
    <xf numFmtId="0" fontId="19" fillId="10" borderId="50" xfId="0" applyFont="1" applyFill="1" applyBorder="1"/>
    <xf numFmtId="14" fontId="10" fillId="10" borderId="46" xfId="0" applyNumberFormat="1" applyFont="1" applyFill="1" applyBorder="1" applyAlignment="1">
      <alignment horizontal="center"/>
    </xf>
    <xf numFmtId="0" fontId="10" fillId="10" borderId="46" xfId="0" applyFont="1" applyFill="1" applyBorder="1" applyAlignment="1">
      <alignment horizontal="center"/>
    </xf>
    <xf numFmtId="0" fontId="10" fillId="10" borderId="47" xfId="0" applyFont="1" applyFill="1" applyBorder="1" applyAlignment="1">
      <alignment horizontal="center"/>
    </xf>
    <xf numFmtId="0" fontId="10" fillId="10" borderId="54" xfId="0" applyFont="1" applyFill="1" applyBorder="1" applyAlignment="1">
      <alignment horizontal="center"/>
    </xf>
    <xf numFmtId="0" fontId="10" fillId="10" borderId="70" xfId="0" applyFont="1" applyFill="1" applyBorder="1" applyAlignment="1">
      <alignment horizontal="center"/>
    </xf>
    <xf numFmtId="0" fontId="10" fillId="10" borderId="0" xfId="0" applyFont="1" applyFill="1" applyAlignment="1">
      <alignment horizontal="center"/>
    </xf>
    <xf numFmtId="0" fontId="10" fillId="10" borderId="24" xfId="0" applyFont="1" applyFill="1" applyBorder="1" applyAlignment="1">
      <alignment horizontal="center"/>
    </xf>
    <xf numFmtId="0" fontId="11" fillId="10" borderId="50" xfId="0" applyFont="1" applyFill="1" applyBorder="1" applyAlignment="1">
      <alignment horizontal="left"/>
    </xf>
    <xf numFmtId="0" fontId="11" fillId="10" borderId="23" xfId="0" applyFont="1" applyFill="1" applyBorder="1" applyAlignment="1">
      <alignment horizontal="left"/>
    </xf>
    <xf numFmtId="0" fontId="0" fillId="0" borderId="51" xfId="0" applyBorder="1" applyAlignment="1">
      <alignment horizontal="center" vertical="center" wrapText="1"/>
    </xf>
    <xf numFmtId="0" fontId="14" fillId="7" borderId="27" xfId="0" applyFont="1" applyFill="1" applyBorder="1" applyAlignment="1">
      <alignment horizontal="center" vertical="center" wrapText="1"/>
    </xf>
    <xf numFmtId="0" fontId="14" fillId="7" borderId="66" xfId="0" applyFont="1" applyFill="1" applyBorder="1" applyAlignment="1">
      <alignment horizontal="center" vertical="center" wrapText="1"/>
    </xf>
    <xf numFmtId="0" fontId="14" fillId="7" borderId="67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7" borderId="37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/>
    </xf>
    <xf numFmtId="0" fontId="8" fillId="3" borderId="66" xfId="0" applyFont="1" applyFill="1" applyBorder="1" applyAlignment="1">
      <alignment horizontal="center" vertical="center"/>
    </xf>
    <xf numFmtId="0" fontId="8" fillId="3" borderId="67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50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9" fontId="12" fillId="4" borderId="27" xfId="0" applyNumberFormat="1" applyFont="1" applyFill="1" applyBorder="1" applyAlignment="1">
      <alignment horizontal="center"/>
    </xf>
    <xf numFmtId="9" fontId="12" fillId="4" borderId="66" xfId="0" applyNumberFormat="1" applyFont="1" applyFill="1" applyBorder="1" applyAlignment="1">
      <alignment horizontal="center"/>
    </xf>
    <xf numFmtId="9" fontId="12" fillId="4" borderId="67" xfId="0" applyNumberFormat="1" applyFont="1" applyFill="1" applyBorder="1" applyAlignment="1">
      <alignment horizontal="center"/>
    </xf>
    <xf numFmtId="0" fontId="0" fillId="0" borderId="7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F2F2"/>
      <color rgb="FF203764"/>
      <color rgb="FF00206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47625</xdr:rowOff>
    </xdr:from>
    <xdr:to>
      <xdr:col>0</xdr:col>
      <xdr:colOff>1428750</xdr:colOff>
      <xdr:row>3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A962B3-011E-1EF1-C698-F4ECB913E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40017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247"/>
  <sheetViews>
    <sheetView showGridLines="0" tabSelected="1" topLeftCell="A210" zoomScaleNormal="50" workbookViewId="0">
      <selection activeCell="G151" sqref="G151:L153"/>
    </sheetView>
  </sheetViews>
  <sheetFormatPr baseColWidth="10" defaultColWidth="11.5546875" defaultRowHeight="13.2" x14ac:dyDescent="0.25"/>
  <cols>
    <col min="1" max="1" width="21.6640625" style="1" customWidth="1"/>
    <col min="2" max="2" width="46" style="1" customWidth="1"/>
    <col min="3" max="6" width="9.6640625" style="1" customWidth="1"/>
    <col min="7" max="7" width="13.88671875" style="1" customWidth="1"/>
    <col min="8" max="8" width="11.109375" style="1" customWidth="1"/>
    <col min="9" max="9" width="8.6640625" style="27" customWidth="1"/>
    <col min="10" max="10" width="7" style="27" customWidth="1"/>
    <col min="11" max="11" width="5" style="27" customWidth="1"/>
    <col min="12" max="12" width="13.33203125" style="1" customWidth="1"/>
    <col min="13" max="13" width="7.6640625" style="1" bestFit="1" customWidth="1"/>
    <col min="14" max="14" width="6.6640625" style="1" customWidth="1"/>
    <col min="15" max="15" width="5.33203125" style="1" bestFit="1" customWidth="1"/>
    <col min="16" max="16" width="5.109375" style="1" customWidth="1"/>
    <col min="17" max="17" width="7" style="1" customWidth="1"/>
    <col min="18" max="16384" width="11.5546875" style="1"/>
  </cols>
  <sheetData>
    <row r="1" spans="1:257" x14ac:dyDescent="0.25">
      <c r="A1" s="159" t="s">
        <v>0</v>
      </c>
      <c r="B1" s="153" t="s">
        <v>1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2" t="s">
        <v>2</v>
      </c>
      <c r="N1" s="153"/>
      <c r="O1" s="153"/>
      <c r="P1" s="153"/>
      <c r="Q1" s="154"/>
    </row>
    <row r="2" spans="1:257" x14ac:dyDescent="0.25">
      <c r="A2" s="160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5"/>
      <c r="N2" s="156"/>
      <c r="O2" s="156"/>
      <c r="P2" s="156"/>
      <c r="Q2" s="157"/>
    </row>
    <row r="3" spans="1:257" x14ac:dyDescent="0.25">
      <c r="A3" s="160"/>
      <c r="B3" s="156" t="s">
        <v>3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2" t="s">
        <v>4</v>
      </c>
      <c r="N3" s="153"/>
      <c r="O3" s="153"/>
      <c r="P3" s="153"/>
      <c r="Q3" s="154"/>
    </row>
    <row r="4" spans="1:257" x14ac:dyDescent="0.25">
      <c r="A4" s="160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5"/>
      <c r="N4" s="156"/>
      <c r="O4" s="156"/>
      <c r="P4" s="156"/>
      <c r="Q4" s="157"/>
    </row>
    <row r="5" spans="1:257" ht="15.75" customHeight="1" x14ac:dyDescent="0.25">
      <c r="A5" s="172">
        <f>H12</f>
        <v>0.68954248366013071</v>
      </c>
      <c r="B5" s="73" t="s">
        <v>5</v>
      </c>
      <c r="C5" s="177" t="s">
        <v>6</v>
      </c>
      <c r="D5" s="177"/>
      <c r="E5" s="177"/>
      <c r="F5" s="177"/>
      <c r="G5" s="67"/>
      <c r="H5" s="67"/>
      <c r="I5" s="68"/>
      <c r="J5" s="73" t="s">
        <v>7</v>
      </c>
      <c r="K5" s="180">
        <v>46001</v>
      </c>
      <c r="L5" s="181"/>
      <c r="M5" s="181"/>
      <c r="N5" s="181"/>
      <c r="O5" s="181"/>
      <c r="P5" s="181"/>
      <c r="Q5" s="182"/>
    </row>
    <row r="6" spans="1:257" ht="16.5" customHeight="1" x14ac:dyDescent="0.25">
      <c r="A6" s="173"/>
      <c r="B6" s="74" t="s">
        <v>8</v>
      </c>
      <c r="C6" s="178" t="s">
        <v>9</v>
      </c>
      <c r="D6" s="178"/>
      <c r="E6" s="178"/>
      <c r="F6" s="178"/>
      <c r="G6" s="69"/>
      <c r="H6" s="69"/>
      <c r="I6" s="70"/>
      <c r="J6" s="74" t="s">
        <v>10</v>
      </c>
      <c r="K6" s="183" t="s">
        <v>11</v>
      </c>
      <c r="L6" s="183"/>
      <c r="M6" s="183"/>
      <c r="N6" s="183"/>
      <c r="O6" s="183"/>
      <c r="P6" s="183"/>
      <c r="Q6" s="184"/>
    </row>
    <row r="7" spans="1:257" ht="7.5" customHeight="1" x14ac:dyDescent="0.25">
      <c r="A7" s="173"/>
      <c r="B7" s="74" t="s">
        <v>0</v>
      </c>
      <c r="C7" s="66" t="s">
        <v>0</v>
      </c>
      <c r="D7" s="66" t="s">
        <v>0</v>
      </c>
      <c r="E7" s="66" t="s">
        <v>0</v>
      </c>
      <c r="F7" s="66" t="s">
        <v>12</v>
      </c>
      <c r="G7" s="69"/>
      <c r="H7" s="69"/>
      <c r="I7" s="70"/>
      <c r="J7" s="185" t="s">
        <v>0</v>
      </c>
      <c r="K7" s="185"/>
      <c r="L7" s="185"/>
      <c r="M7" s="185"/>
      <c r="N7" s="185"/>
      <c r="O7" s="185"/>
      <c r="P7" s="185"/>
      <c r="Q7" s="186"/>
    </row>
    <row r="8" spans="1:257" x14ac:dyDescent="0.25">
      <c r="A8" s="174"/>
      <c r="B8" s="75" t="s">
        <v>13</v>
      </c>
      <c r="C8" s="179" t="s">
        <v>0</v>
      </c>
      <c r="D8" s="179"/>
      <c r="E8" s="179"/>
      <c r="F8" s="179"/>
      <c r="G8" s="71"/>
      <c r="H8" s="71"/>
      <c r="I8" s="72"/>
      <c r="J8" s="187" t="s">
        <v>14</v>
      </c>
      <c r="K8" s="187"/>
      <c r="L8" s="187"/>
      <c r="M8" s="187"/>
      <c r="N8" s="187"/>
      <c r="O8" s="187"/>
      <c r="P8" s="187"/>
      <c r="Q8" s="188"/>
    </row>
    <row r="10" spans="1:257" s="18" customFormat="1" ht="36" customHeight="1" x14ac:dyDescent="0.25">
      <c r="A10" s="47" t="s">
        <v>15</v>
      </c>
      <c r="B10" s="46" t="s">
        <v>16</v>
      </c>
      <c r="C10" s="89" t="s">
        <v>17</v>
      </c>
      <c r="D10" s="89" t="s">
        <v>18</v>
      </c>
      <c r="E10" s="89" t="s">
        <v>19</v>
      </c>
      <c r="F10" s="90" t="s">
        <v>20</v>
      </c>
      <c r="G10" s="168" t="s">
        <v>21</v>
      </c>
      <c r="H10" s="239" t="s">
        <v>22</v>
      </c>
      <c r="I10" s="240"/>
      <c r="J10" s="240"/>
      <c r="K10" s="240"/>
      <c r="L10" s="241"/>
      <c r="M10" s="190" t="s">
        <v>23</v>
      </c>
      <c r="N10" s="191"/>
      <c r="O10" s="191"/>
      <c r="P10" s="191"/>
      <c r="Q10" s="19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spans="1:257" ht="16.5" customHeight="1" x14ac:dyDescent="0.25">
      <c r="A11" s="175">
        <f>SUM(A15,A20,A26,A30,A38,A46,A54,A70,A78,A94,A118,A134,A141,A156,A165,A175,A181,A188,A203,A212,A215,A228,A234,A240)</f>
        <v>104</v>
      </c>
      <c r="B11" s="166" t="s">
        <v>24</v>
      </c>
      <c r="C11" s="91">
        <f>C19/C15+C25/C20+C29/C26+C37/C30+C45/C38+C53/C46+C69/C54+C77/C70+C93/C78+C117/C94+C133/C118+C140/C134+C155/C141+C164/C156+C173/C165+C180/C175+C187/C181+C202/C188+C211/C203+C214/C212+C227/C215+C233/C228+C239/C234+C245/C240</f>
        <v>43</v>
      </c>
      <c r="D11" s="92">
        <f>D19/D15+D25/D20+D29/D26+D37/D30+D45/D38+D53/D46+D69/D54+D77/D70+D93/D78+D117/D94+D133/D118+D140/D134+D155/D141+D164/D156+D173/D165+D180/D175+D187/D181+D202/D188+D211/D203+D214/D212+D227/D215+D233/D228+D239/D234+D245/D240</f>
        <v>16</v>
      </c>
      <c r="E11" s="92">
        <f>E19/E15+E25/E20+E29/E26+E37/E30+E45/E38+E53/E46+E69/E54+E77/E70+E93/E78+E117/E94+E133/E118+E140/E134+E155/E141+E164/E156+E173/E165+E180/E175+E187/E181+E202/E188+E211/E203+E214/E212+E227/E215+E233/E228+E239/E234+E245/E240</f>
        <v>6</v>
      </c>
      <c r="F11" s="76">
        <f>F19/F15+F25/F20+F29/F26+F37/F30+F45/F38+F53/F46+F69/F54+F77/F70+F93/F78+F117/F94+F133/F118+F140/F134+F155/F141+F164/F156+F173/F165+F180/F175+F187/F181+F202/F188+F211/F203+F214/F212+F227/F215+F233/F228+F239/F234+F245/F240</f>
        <v>39</v>
      </c>
      <c r="G11" s="169"/>
      <c r="H11" s="242"/>
      <c r="I11" s="243"/>
      <c r="J11" s="243"/>
      <c r="K11" s="243"/>
      <c r="L11" s="244"/>
      <c r="M11" s="193" t="s">
        <v>25</v>
      </c>
      <c r="N11" s="196" t="s">
        <v>26</v>
      </c>
      <c r="O11" s="196" t="s">
        <v>27</v>
      </c>
      <c r="P11" s="196" t="s">
        <v>28</v>
      </c>
      <c r="Q11" s="236" t="s">
        <v>29</v>
      </c>
    </row>
    <row r="12" spans="1:257" ht="20.25" customHeight="1" x14ac:dyDescent="0.4">
      <c r="A12" s="176"/>
      <c r="B12" s="167"/>
      <c r="C12" s="87">
        <f>+C19+C25+C29+C37+C45+C53+C69+C77+C93+C117+C133+C140+C155+C164+C173+C180+C187+C202+C211+C214+C227+C233+C239+C245</f>
        <v>102</v>
      </c>
      <c r="D12" s="34">
        <f>+D19+D25+D29+D37+D45+D53+D69+D77+D93+D117+D133+D140+D155+D164+D173+D180+D187+D202+D211+D214+D227+D233+D239+D245</f>
        <v>16.5</v>
      </c>
      <c r="E12" s="34">
        <f>+E19+E25+E29+E37+E45+E53+E69+E77+E93+E117+E133+E140+E155+E164+E173+E180+E187+E202+E211+E214+E227+E233+E239+E245</f>
        <v>-13</v>
      </c>
      <c r="F12" s="88"/>
      <c r="G12" s="42">
        <f>G19+G25+G29+G37+G45+G53+G69+G77+G93+G117+G133+G140+G155+G164+G173+G180+G187+G202+G211+G214+G227+G233+G239+G245</f>
        <v>105.5</v>
      </c>
      <c r="H12" s="245">
        <f>G12/G13</f>
        <v>0.68954248366013071</v>
      </c>
      <c r="I12" s="246"/>
      <c r="J12" s="246"/>
      <c r="K12" s="246"/>
      <c r="L12" s="247"/>
      <c r="M12" s="194"/>
      <c r="N12" s="197"/>
      <c r="O12" s="197"/>
      <c r="P12" s="197"/>
      <c r="Q12" s="237"/>
    </row>
    <row r="13" spans="1:257" ht="16.5" customHeight="1" x14ac:dyDescent="0.3">
      <c r="A13" s="65"/>
      <c r="B13" s="93" t="s">
        <v>30</v>
      </c>
      <c r="C13" s="99">
        <f>C11/A11</f>
        <v>0.41346153846153844</v>
      </c>
      <c r="D13" s="99">
        <f>D11/A11</f>
        <v>0.15384615384615385</v>
      </c>
      <c r="E13" s="99">
        <f>E11/A11</f>
        <v>5.7692307692307696E-2</v>
      </c>
      <c r="F13" s="99">
        <f>F11/A11</f>
        <v>0.375</v>
      </c>
      <c r="G13" s="43">
        <f>G15+G20+G26+G30+G38+G46+G54+G70+G78+G94+G118+G134+G141+G156+G165+G175+G181+G188+G203+G212+G215+G228+G234+G240</f>
        <v>153</v>
      </c>
      <c r="H13" s="170" t="s">
        <v>31</v>
      </c>
      <c r="I13" s="170"/>
      <c r="J13" s="170"/>
      <c r="K13" s="170"/>
      <c r="L13" s="171"/>
      <c r="M13" s="195"/>
      <c r="N13" s="198"/>
      <c r="O13" s="198"/>
      <c r="P13" s="198"/>
      <c r="Q13" s="238"/>
      <c r="R13" s="94">
        <f>SUM(R15,R20,R26,R30,R38,R46,R54,R70,R78,R94,R118,R134,R141,R156,R165,R175,R181,R188,R203,R212,R215,R228,R234,R240)</f>
        <v>-1.4423076923076907E-2</v>
      </c>
    </row>
    <row r="14" spans="1:257" ht="6.75" customHeight="1" x14ac:dyDescent="0.3">
      <c r="A14" s="79"/>
      <c r="B14" s="44"/>
      <c r="C14" s="80"/>
      <c r="D14" s="80"/>
      <c r="E14" s="80"/>
      <c r="F14" s="80"/>
      <c r="G14" s="45"/>
      <c r="H14" s="81"/>
      <c r="I14" s="81"/>
      <c r="J14" s="81"/>
      <c r="K14" s="81"/>
      <c r="L14" s="81"/>
      <c r="M14" s="25"/>
      <c r="N14" s="25"/>
      <c r="O14" s="25"/>
      <c r="P14" s="25"/>
      <c r="Q14" s="25"/>
    </row>
    <row r="15" spans="1:257" ht="32.25" customHeight="1" x14ac:dyDescent="0.25">
      <c r="A15" s="100">
        <f>SUM(A16:A18)</f>
        <v>3</v>
      </c>
      <c r="B15" s="29" t="s">
        <v>32</v>
      </c>
      <c r="C15" s="80">
        <v>3</v>
      </c>
      <c r="D15" s="80">
        <v>1</v>
      </c>
      <c r="E15" s="80">
        <v>-3</v>
      </c>
      <c r="F15" s="80">
        <v>1</v>
      </c>
      <c r="G15" s="24">
        <f>+C15*A15-F19*C15</f>
        <v>9</v>
      </c>
      <c r="I15" s="1"/>
      <c r="J15" s="1"/>
      <c r="K15" s="1"/>
      <c r="P15" s="48"/>
      <c r="R15" s="94">
        <f>+(A15-G19)/A11</f>
        <v>0</v>
      </c>
    </row>
    <row r="16" spans="1:257" ht="18.75" customHeight="1" x14ac:dyDescent="0.25">
      <c r="A16" s="101">
        <v>1</v>
      </c>
      <c r="B16" s="35" t="s">
        <v>33</v>
      </c>
      <c r="C16" s="55" t="s">
        <v>34</v>
      </c>
      <c r="D16" s="55"/>
      <c r="E16" s="55"/>
      <c r="F16" s="55"/>
      <c r="G16" s="161"/>
      <c r="H16" s="161"/>
      <c r="I16" s="161"/>
      <c r="J16" s="161"/>
      <c r="K16" s="161"/>
      <c r="L16" s="162"/>
      <c r="M16" s="17" t="s">
        <v>35</v>
      </c>
      <c r="N16" s="114">
        <v>1338</v>
      </c>
      <c r="O16" s="12">
        <v>1996</v>
      </c>
      <c r="P16" s="12"/>
      <c r="Q16" s="97">
        <v>3</v>
      </c>
    </row>
    <row r="17" spans="1:18" ht="39.75" customHeight="1" x14ac:dyDescent="0.25">
      <c r="A17" s="101">
        <v>1</v>
      </c>
      <c r="B17" s="36" t="s">
        <v>36</v>
      </c>
      <c r="C17" s="5" t="s">
        <v>34</v>
      </c>
      <c r="D17" s="54"/>
      <c r="E17" s="54"/>
      <c r="F17" s="54"/>
      <c r="G17" s="163"/>
      <c r="H17" s="163"/>
      <c r="I17" s="163"/>
      <c r="J17" s="163"/>
      <c r="K17" s="163"/>
      <c r="L17" s="164"/>
      <c r="M17" s="16" t="s">
        <v>35</v>
      </c>
      <c r="N17" s="115">
        <v>1338</v>
      </c>
      <c r="O17" s="5">
        <v>1996</v>
      </c>
      <c r="P17" s="5"/>
      <c r="Q17" s="95">
        <v>10</v>
      </c>
    </row>
    <row r="18" spans="1:18" ht="56.25" customHeight="1" x14ac:dyDescent="0.25">
      <c r="A18" s="101">
        <v>1</v>
      </c>
      <c r="B18" s="37" t="s">
        <v>37</v>
      </c>
      <c r="C18" s="6"/>
      <c r="D18" s="6"/>
      <c r="E18" s="6" t="s">
        <v>34</v>
      </c>
      <c r="F18" s="6"/>
      <c r="G18" s="133"/>
      <c r="H18" s="133"/>
      <c r="I18" s="133"/>
      <c r="J18" s="133"/>
      <c r="K18" s="133"/>
      <c r="L18" s="165"/>
      <c r="M18" s="56" t="s">
        <v>35</v>
      </c>
      <c r="N18" s="116">
        <v>1338</v>
      </c>
      <c r="O18" s="6">
        <v>1996</v>
      </c>
      <c r="P18" s="6"/>
      <c r="Q18" s="96">
        <v>5</v>
      </c>
    </row>
    <row r="19" spans="1:18" x14ac:dyDescent="0.25">
      <c r="A19" s="101"/>
      <c r="C19" s="83">
        <f>+IF(C16="X",+C15,0)+IF(C17="X",+C15,0)+IF(C18="X",+C15,0)</f>
        <v>6</v>
      </c>
      <c r="D19" s="83">
        <f>+IF(D16="X",+D15,0)+IF(D17="X",+D15,0)+IF(D18="X",+D15,0)</f>
        <v>0</v>
      </c>
      <c r="E19" s="83">
        <f>+IF(E16="X",+E15,0)+IF(E17="X",+E15,0)+IF(E18="X",+E15,0)</f>
        <v>-3</v>
      </c>
      <c r="F19" s="83">
        <f>+IF(F16="X",+F15,0)+IF(F17="X",+F15,0)+IF(F18="X",+F15,0)</f>
        <v>0</v>
      </c>
      <c r="G19" s="82">
        <f>SUM(C19:E19)</f>
        <v>3</v>
      </c>
      <c r="I19" s="1"/>
      <c r="J19" s="1"/>
      <c r="K19" s="1"/>
      <c r="M19" s="10"/>
      <c r="N19" s="27"/>
      <c r="O19" s="27"/>
      <c r="P19" s="25"/>
      <c r="Q19" s="27"/>
    </row>
    <row r="20" spans="1:18" ht="14.4" x14ac:dyDescent="0.25">
      <c r="A20" s="102">
        <f>SUM(A21:A24)</f>
        <v>2</v>
      </c>
      <c r="B20" s="29" t="s">
        <v>38</v>
      </c>
      <c r="C20" s="83">
        <v>2</v>
      </c>
      <c r="D20" s="83">
        <v>1</v>
      </c>
      <c r="E20" s="83">
        <v>-2</v>
      </c>
      <c r="F20" s="83">
        <v>1</v>
      </c>
      <c r="G20" s="82">
        <f>+C20*A20-F25*C20</f>
        <v>4</v>
      </c>
      <c r="I20" s="1"/>
      <c r="J20" s="1"/>
      <c r="K20" s="1"/>
      <c r="M20" s="10"/>
      <c r="N20" s="27"/>
      <c r="O20" s="27"/>
      <c r="P20" s="27"/>
      <c r="Q20" s="27"/>
      <c r="R20" s="94">
        <f>+(A20-G25)/$A$11</f>
        <v>1.9230769230769232E-2</v>
      </c>
    </row>
    <row r="21" spans="1:18" x14ac:dyDescent="0.25">
      <c r="A21" s="101">
        <v>1</v>
      </c>
      <c r="B21" s="35" t="s">
        <v>39</v>
      </c>
      <c r="C21" s="12"/>
      <c r="D21" s="12"/>
      <c r="E21" s="12" t="s">
        <v>34</v>
      </c>
      <c r="F21" s="12"/>
      <c r="G21" s="134"/>
      <c r="H21" s="134"/>
      <c r="I21" s="134"/>
      <c r="J21" s="134"/>
      <c r="K21" s="134"/>
      <c r="L21" s="189"/>
      <c r="M21" s="17" t="s">
        <v>35</v>
      </c>
      <c r="N21" s="114">
        <v>1338</v>
      </c>
      <c r="O21" s="12">
        <v>1996</v>
      </c>
      <c r="P21" s="12"/>
      <c r="Q21" s="97">
        <v>3</v>
      </c>
    </row>
    <row r="22" spans="1:18" x14ac:dyDescent="0.25">
      <c r="A22" s="136">
        <v>1</v>
      </c>
      <c r="B22" s="139" t="s">
        <v>40</v>
      </c>
      <c r="C22" s="130" t="s">
        <v>34</v>
      </c>
      <c r="D22" s="130"/>
      <c r="E22" s="130"/>
      <c r="F22" s="130"/>
      <c r="G22" s="126"/>
      <c r="H22" s="206"/>
      <c r="I22" s="206"/>
      <c r="J22" s="206"/>
      <c r="K22" s="206"/>
      <c r="L22" s="207"/>
      <c r="M22" s="16" t="s">
        <v>41</v>
      </c>
      <c r="N22" s="115">
        <v>19587</v>
      </c>
      <c r="O22" s="5"/>
      <c r="P22" s="5"/>
      <c r="Q22" s="95" t="s">
        <v>42</v>
      </c>
    </row>
    <row r="23" spans="1:18" ht="26.4" x14ac:dyDescent="0.25">
      <c r="A23" s="136"/>
      <c r="B23" s="139"/>
      <c r="C23" s="130"/>
      <c r="D23" s="130"/>
      <c r="E23" s="130"/>
      <c r="F23" s="130"/>
      <c r="G23" s="127"/>
      <c r="H23" s="208"/>
      <c r="I23" s="208"/>
      <c r="J23" s="208"/>
      <c r="K23" s="208"/>
      <c r="L23" s="209"/>
      <c r="M23" s="16" t="s">
        <v>43</v>
      </c>
      <c r="N23" s="115">
        <v>43</v>
      </c>
      <c r="O23" s="5">
        <v>1997</v>
      </c>
      <c r="P23" s="5"/>
      <c r="Q23" s="95"/>
    </row>
    <row r="24" spans="1:18" ht="26.4" x14ac:dyDescent="0.25">
      <c r="A24" s="136"/>
      <c r="B24" s="141"/>
      <c r="C24" s="133"/>
      <c r="D24" s="133"/>
      <c r="E24" s="133"/>
      <c r="F24" s="133"/>
      <c r="G24" s="210"/>
      <c r="H24" s="211"/>
      <c r="I24" s="211"/>
      <c r="J24" s="211"/>
      <c r="K24" s="211"/>
      <c r="L24" s="212"/>
      <c r="M24" s="56" t="s">
        <v>43</v>
      </c>
      <c r="N24" s="6">
        <v>54</v>
      </c>
      <c r="O24" s="6">
        <v>1998</v>
      </c>
      <c r="P24" s="6"/>
      <c r="Q24" s="96"/>
    </row>
    <row r="25" spans="1:18" ht="20.25" customHeight="1" x14ac:dyDescent="0.25">
      <c r="A25" s="103"/>
      <c r="C25" s="83">
        <f>+IF(C21="X",+C20,0)+IF(C22="X",+C20,0)</f>
        <v>2</v>
      </c>
      <c r="D25" s="83">
        <f>+IF(D21="X",+D20,0)+IF(D22="X",+D20,0)</f>
        <v>0</v>
      </c>
      <c r="E25" s="83">
        <f>+IF(E21="X",+E20,0)+IF(E22="X",+E20,0)</f>
        <v>-2</v>
      </c>
      <c r="F25" s="83">
        <f>+IF(F21="X",+F20,0)+IF(F22="X",+F20,0)</f>
        <v>0</v>
      </c>
      <c r="G25" s="82">
        <f>SUM(C25:E25)</f>
        <v>0</v>
      </c>
      <c r="I25" s="1"/>
      <c r="J25" s="1"/>
      <c r="K25" s="1"/>
      <c r="M25" s="10"/>
      <c r="N25" s="27"/>
      <c r="O25" s="27"/>
      <c r="P25" s="27"/>
      <c r="Q25" s="27"/>
    </row>
    <row r="26" spans="1:18" ht="14.4" x14ac:dyDescent="0.25">
      <c r="A26" s="102">
        <f>SUM(A27:A28)</f>
        <v>2</v>
      </c>
      <c r="B26" s="29" t="s">
        <v>44</v>
      </c>
      <c r="C26" s="83">
        <v>2</v>
      </c>
      <c r="D26" s="83">
        <v>1</v>
      </c>
      <c r="E26" s="83">
        <v>-2</v>
      </c>
      <c r="F26" s="83">
        <v>1</v>
      </c>
      <c r="G26" s="82">
        <f>+C26*A26-F29*C26</f>
        <v>4</v>
      </c>
      <c r="I26" s="1"/>
      <c r="J26" s="1"/>
      <c r="K26" s="1"/>
      <c r="M26" s="10"/>
      <c r="N26" s="27"/>
      <c r="O26" s="27"/>
      <c r="P26" s="27"/>
      <c r="Q26" s="27"/>
      <c r="R26" s="94">
        <f>+(A26-G29)/$A$11</f>
        <v>-1.9230769230769232E-2</v>
      </c>
    </row>
    <row r="27" spans="1:18" x14ac:dyDescent="0.25">
      <c r="A27" s="101">
        <v>1</v>
      </c>
      <c r="B27" s="35" t="s">
        <v>45</v>
      </c>
      <c r="C27" s="12" t="s">
        <v>34</v>
      </c>
      <c r="D27" s="12"/>
      <c r="E27" s="12"/>
      <c r="F27" s="12"/>
      <c r="G27" s="134"/>
      <c r="H27" s="134"/>
      <c r="I27" s="134"/>
      <c r="J27" s="134"/>
      <c r="K27" s="134"/>
      <c r="L27" s="189"/>
      <c r="M27" s="17" t="s">
        <v>41</v>
      </c>
      <c r="N27" s="114">
        <v>24557</v>
      </c>
      <c r="O27" s="12"/>
      <c r="P27" s="12" t="s">
        <v>46</v>
      </c>
      <c r="Q27" s="97">
        <v>27</v>
      </c>
    </row>
    <row r="28" spans="1:18" ht="26.4" x14ac:dyDescent="0.25">
      <c r="A28" s="101">
        <v>1</v>
      </c>
      <c r="B28" s="37" t="s">
        <v>47</v>
      </c>
      <c r="C28" s="6" t="s">
        <v>34</v>
      </c>
      <c r="D28" s="6"/>
      <c r="E28" s="6"/>
      <c r="F28" s="6"/>
      <c r="G28" s="133"/>
      <c r="H28" s="133"/>
      <c r="I28" s="133"/>
      <c r="J28" s="133"/>
      <c r="K28" s="133"/>
      <c r="L28" s="165"/>
      <c r="M28" s="56"/>
      <c r="N28" s="6"/>
      <c r="O28" s="6"/>
      <c r="P28" s="6"/>
      <c r="Q28" s="96"/>
    </row>
    <row r="29" spans="1:18" x14ac:dyDescent="0.25">
      <c r="A29" s="103"/>
      <c r="C29" s="83">
        <f>+IF(C27="X",+C26,0)+IF(C28="X",+C26,0)</f>
        <v>4</v>
      </c>
      <c r="D29" s="83">
        <f>+IF(D27="X",+D26,0)+IF(D28="X",+D26,0)</f>
        <v>0</v>
      </c>
      <c r="E29" s="83">
        <f>+IF(E27="X",+E26,0)+IF(E28="X",+E26,0)</f>
        <v>0</v>
      </c>
      <c r="F29" s="83">
        <f>+IF(F27="X",+F26,0)+IF(F28="X",+F26,0)</f>
        <v>0</v>
      </c>
      <c r="G29" s="82">
        <f>SUM(C29:E29)</f>
        <v>4</v>
      </c>
      <c r="I29" s="1"/>
      <c r="J29" s="1"/>
      <c r="K29" s="1"/>
      <c r="M29" s="10"/>
      <c r="N29" s="27"/>
      <c r="O29" s="27"/>
      <c r="P29" s="27"/>
      <c r="Q29" s="27"/>
    </row>
    <row r="30" spans="1:18" ht="14.4" x14ac:dyDescent="0.25">
      <c r="A30" s="102">
        <f>SUM(A31:A36)</f>
        <v>3</v>
      </c>
      <c r="B30" s="29" t="s">
        <v>48</v>
      </c>
      <c r="C30" s="83">
        <v>1</v>
      </c>
      <c r="D30" s="83">
        <v>0.5</v>
      </c>
      <c r="E30" s="83">
        <v>-1</v>
      </c>
      <c r="F30" s="83">
        <v>1</v>
      </c>
      <c r="G30" s="82">
        <f>+C30*A30-F37*C30</f>
        <v>2</v>
      </c>
      <c r="I30" s="1"/>
      <c r="J30" s="1"/>
      <c r="K30" s="1"/>
      <c r="M30" s="10"/>
      <c r="N30" s="27"/>
      <c r="O30" s="27"/>
      <c r="P30" s="27"/>
      <c r="Q30" s="27"/>
      <c r="R30" s="94">
        <f>+(A30-G37)/$A$11</f>
        <v>1.4423076923076924E-2</v>
      </c>
    </row>
    <row r="31" spans="1:18" x14ac:dyDescent="0.25">
      <c r="A31" s="136">
        <v>1</v>
      </c>
      <c r="B31" s="138" t="s">
        <v>49</v>
      </c>
      <c r="C31" s="134"/>
      <c r="D31" s="134" t="s">
        <v>34</v>
      </c>
      <c r="E31" s="134"/>
      <c r="F31" s="134"/>
      <c r="G31" s="134"/>
      <c r="H31" s="134"/>
      <c r="I31" s="134"/>
      <c r="J31" s="134"/>
      <c r="K31" s="134"/>
      <c r="L31" s="216"/>
      <c r="M31" s="58" t="s">
        <v>41</v>
      </c>
      <c r="N31" s="117">
        <v>19587</v>
      </c>
      <c r="O31" s="3"/>
      <c r="P31" s="3"/>
      <c r="Q31" s="105" t="s">
        <v>50</v>
      </c>
    </row>
    <row r="32" spans="1:18" x14ac:dyDescent="0.25">
      <c r="A32" s="136"/>
      <c r="B32" s="139"/>
      <c r="C32" s="130"/>
      <c r="D32" s="130"/>
      <c r="E32" s="130"/>
      <c r="F32" s="130"/>
      <c r="G32" s="130"/>
      <c r="H32" s="130"/>
      <c r="I32" s="130"/>
      <c r="J32" s="130"/>
      <c r="K32" s="130"/>
      <c r="L32" s="129"/>
      <c r="M32" s="60" t="s">
        <v>35</v>
      </c>
      <c r="N32" s="2">
        <v>351</v>
      </c>
      <c r="O32" s="2">
        <v>1979</v>
      </c>
      <c r="P32" s="2">
        <v>15</v>
      </c>
      <c r="Q32" s="106">
        <v>110</v>
      </c>
    </row>
    <row r="33" spans="1:18" x14ac:dyDescent="0.25">
      <c r="A33" s="136">
        <v>1</v>
      </c>
      <c r="B33" s="139" t="s">
        <v>51</v>
      </c>
      <c r="C33" s="130" t="s">
        <v>34</v>
      </c>
      <c r="D33" s="130"/>
      <c r="E33" s="130"/>
      <c r="F33" s="130"/>
      <c r="G33" s="130"/>
      <c r="H33" s="130"/>
      <c r="I33" s="130"/>
      <c r="J33" s="130"/>
      <c r="K33" s="130"/>
      <c r="L33" s="129"/>
      <c r="M33" s="60" t="s">
        <v>41</v>
      </c>
      <c r="N33" s="118">
        <v>19587</v>
      </c>
      <c r="O33" s="2"/>
      <c r="P33" s="2"/>
      <c r="Q33" s="106" t="s">
        <v>50</v>
      </c>
    </row>
    <row r="34" spans="1:18" ht="26.4" x14ac:dyDescent="0.25">
      <c r="A34" s="136"/>
      <c r="B34" s="139"/>
      <c r="C34" s="130"/>
      <c r="D34" s="130"/>
      <c r="E34" s="130"/>
      <c r="F34" s="130"/>
      <c r="G34" s="130"/>
      <c r="H34" s="130"/>
      <c r="I34" s="130"/>
      <c r="J34" s="130"/>
      <c r="K34" s="130"/>
      <c r="L34" s="129"/>
      <c r="M34" s="60" t="s">
        <v>35</v>
      </c>
      <c r="N34" s="2">
        <v>351</v>
      </c>
      <c r="O34" s="2">
        <v>1979</v>
      </c>
      <c r="P34" s="2">
        <v>15</v>
      </c>
      <c r="Q34" s="107" t="s">
        <v>52</v>
      </c>
    </row>
    <row r="35" spans="1:18" ht="20.25" customHeight="1" x14ac:dyDescent="0.25">
      <c r="A35" s="136">
        <v>1</v>
      </c>
      <c r="B35" s="139" t="s">
        <v>53</v>
      </c>
      <c r="C35" s="130"/>
      <c r="D35" s="130"/>
      <c r="E35" s="130"/>
      <c r="F35" s="130" t="s">
        <v>34</v>
      </c>
      <c r="G35" s="130"/>
      <c r="H35" s="130"/>
      <c r="I35" s="130"/>
      <c r="J35" s="130"/>
      <c r="K35" s="130"/>
      <c r="L35" s="129"/>
      <c r="M35" s="60" t="s">
        <v>41</v>
      </c>
      <c r="N35" s="118">
        <v>19587</v>
      </c>
      <c r="O35" s="2"/>
      <c r="P35" s="2"/>
      <c r="Q35" s="106" t="s">
        <v>50</v>
      </c>
    </row>
    <row r="36" spans="1:18" ht="26.4" x14ac:dyDescent="0.25">
      <c r="A36" s="136"/>
      <c r="B36" s="141"/>
      <c r="C36" s="133"/>
      <c r="D36" s="133"/>
      <c r="E36" s="133"/>
      <c r="F36" s="133"/>
      <c r="G36" s="133"/>
      <c r="H36" s="133"/>
      <c r="I36" s="133"/>
      <c r="J36" s="133"/>
      <c r="K36" s="133"/>
      <c r="L36" s="217"/>
      <c r="M36" s="61" t="s">
        <v>35</v>
      </c>
      <c r="N36" s="98">
        <v>351</v>
      </c>
      <c r="O36" s="98">
        <v>1979</v>
      </c>
      <c r="P36" s="98">
        <v>15</v>
      </c>
      <c r="Q36" s="108" t="s">
        <v>54</v>
      </c>
    </row>
    <row r="37" spans="1:18" ht="20.25" customHeight="1" x14ac:dyDescent="0.25">
      <c r="A37" s="103"/>
      <c r="C37" s="83">
        <f>+IF(C31="X",+C30,0)+IF(C33="X",+C30,0)+IF(C35="X",+C30,0)</f>
        <v>1</v>
      </c>
      <c r="D37" s="83">
        <f>+IF(D31="X",+D30,0)+IF(D33="X",+D30,0)+IF(D35="X",+D30,0)</f>
        <v>0.5</v>
      </c>
      <c r="E37" s="83">
        <f>+IF(E31="X",+E30,0)+IF(E33="X",+E30,0)+IF(E35="X",+E30,0)</f>
        <v>0</v>
      </c>
      <c r="F37" s="83">
        <f>+IF(F31="X",+F30,0)+IF(F33="X",+F30,0)+IF(F35="X",+F30,0)</f>
        <v>1</v>
      </c>
      <c r="G37" s="82">
        <f>SUM(C37:E37)</f>
        <v>1.5</v>
      </c>
      <c r="I37" s="1"/>
      <c r="J37" s="1"/>
      <c r="K37" s="1"/>
      <c r="M37" s="10"/>
      <c r="N37" s="27"/>
      <c r="O37" s="27"/>
      <c r="P37" s="27"/>
      <c r="Q37" s="27"/>
    </row>
    <row r="38" spans="1:18" ht="20.25" customHeight="1" x14ac:dyDescent="0.25">
      <c r="A38" s="102">
        <f>SUM(A39:A44)</f>
        <v>3</v>
      </c>
      <c r="B38" s="18" t="s">
        <v>55</v>
      </c>
      <c r="C38" s="83">
        <v>2</v>
      </c>
      <c r="D38" s="83">
        <v>1</v>
      </c>
      <c r="E38" s="83">
        <v>-2</v>
      </c>
      <c r="F38" s="83">
        <v>1</v>
      </c>
      <c r="G38" s="82">
        <f>C38*A38-F45*C38</f>
        <v>6</v>
      </c>
      <c r="I38" s="1"/>
      <c r="J38" s="1"/>
      <c r="K38" s="1"/>
      <c r="M38" s="10"/>
      <c r="N38" s="27"/>
      <c r="O38" s="27"/>
      <c r="P38" s="27"/>
      <c r="Q38" s="27"/>
      <c r="R38" s="94">
        <f>+(A38-G45)/$A$11</f>
        <v>-9.6153846153846159E-3</v>
      </c>
    </row>
    <row r="39" spans="1:18" ht="20.25" customHeight="1" x14ac:dyDescent="0.25">
      <c r="A39" s="136">
        <v>1</v>
      </c>
      <c r="B39" s="138" t="s">
        <v>56</v>
      </c>
      <c r="C39" s="134"/>
      <c r="D39" s="134" t="s">
        <v>34</v>
      </c>
      <c r="E39" s="134"/>
      <c r="F39" s="134"/>
      <c r="G39" s="134"/>
      <c r="H39" s="134"/>
      <c r="I39" s="134"/>
      <c r="J39" s="134"/>
      <c r="K39" s="134"/>
      <c r="L39" s="189"/>
      <c r="M39" s="17" t="s">
        <v>41</v>
      </c>
      <c r="N39" s="114">
        <v>19587</v>
      </c>
      <c r="O39" s="12"/>
      <c r="P39" s="12"/>
      <c r="Q39" s="97" t="s">
        <v>57</v>
      </c>
    </row>
    <row r="40" spans="1:18" ht="66" x14ac:dyDescent="0.25">
      <c r="A40" s="136"/>
      <c r="B40" s="139"/>
      <c r="C40" s="130"/>
      <c r="D40" s="130"/>
      <c r="E40" s="130"/>
      <c r="F40" s="130"/>
      <c r="G40" s="130"/>
      <c r="H40" s="130"/>
      <c r="I40" s="130"/>
      <c r="J40" s="130"/>
      <c r="K40" s="130"/>
      <c r="L40" s="135"/>
      <c r="M40" s="16" t="s">
        <v>35</v>
      </c>
      <c r="N40" s="5">
        <v>351</v>
      </c>
      <c r="O40" s="5">
        <v>1979</v>
      </c>
      <c r="P40" s="5">
        <v>15</v>
      </c>
      <c r="Q40" s="95" t="s">
        <v>58</v>
      </c>
    </row>
    <row r="41" spans="1:18" ht="20.25" customHeight="1" x14ac:dyDescent="0.25">
      <c r="A41" s="136">
        <v>1</v>
      </c>
      <c r="B41" s="139" t="s">
        <v>59</v>
      </c>
      <c r="C41" s="130"/>
      <c r="D41" s="130" t="s">
        <v>34</v>
      </c>
      <c r="E41" s="130"/>
      <c r="F41" s="130"/>
      <c r="G41" s="130" t="s">
        <v>60</v>
      </c>
      <c r="H41" s="130"/>
      <c r="I41" s="130"/>
      <c r="J41" s="130"/>
      <c r="K41" s="130"/>
      <c r="L41" s="135"/>
      <c r="M41" s="16" t="s">
        <v>41</v>
      </c>
      <c r="N41" s="115">
        <v>19587</v>
      </c>
      <c r="O41" s="5"/>
      <c r="P41" s="5"/>
      <c r="Q41" s="95" t="s">
        <v>57</v>
      </c>
    </row>
    <row r="42" spans="1:18" ht="39.6" x14ac:dyDescent="0.25">
      <c r="A42" s="136"/>
      <c r="B42" s="139"/>
      <c r="C42" s="130"/>
      <c r="D42" s="130"/>
      <c r="E42" s="130"/>
      <c r="F42" s="130"/>
      <c r="G42" s="130"/>
      <c r="H42" s="130"/>
      <c r="I42" s="130"/>
      <c r="J42" s="130"/>
      <c r="K42" s="130"/>
      <c r="L42" s="135"/>
      <c r="M42" s="16" t="s">
        <v>35</v>
      </c>
      <c r="N42" s="5">
        <v>351</v>
      </c>
      <c r="O42" s="5">
        <v>1979</v>
      </c>
      <c r="P42" s="5">
        <v>14</v>
      </c>
      <c r="Q42" s="95" t="s">
        <v>61</v>
      </c>
    </row>
    <row r="43" spans="1:18" ht="20.25" customHeight="1" x14ac:dyDescent="0.25">
      <c r="A43" s="136">
        <v>1</v>
      </c>
      <c r="B43" s="139" t="s">
        <v>62</v>
      </c>
      <c r="C43" s="130" t="s">
        <v>34</v>
      </c>
      <c r="D43" s="130"/>
      <c r="E43" s="130"/>
      <c r="F43" s="130"/>
      <c r="G43" s="130"/>
      <c r="H43" s="130"/>
      <c r="I43" s="130"/>
      <c r="J43" s="130"/>
      <c r="K43" s="130"/>
      <c r="L43" s="135"/>
      <c r="M43" s="16" t="s">
        <v>41</v>
      </c>
      <c r="N43" s="115">
        <v>19587</v>
      </c>
      <c r="O43" s="5"/>
      <c r="P43" s="5"/>
      <c r="Q43" s="95" t="s">
        <v>63</v>
      </c>
    </row>
    <row r="44" spans="1:18" ht="27.75" customHeight="1" x14ac:dyDescent="0.25">
      <c r="A44" s="136"/>
      <c r="B44" s="141"/>
      <c r="C44" s="133"/>
      <c r="D44" s="133"/>
      <c r="E44" s="133"/>
      <c r="F44" s="133"/>
      <c r="G44" s="133"/>
      <c r="H44" s="133"/>
      <c r="I44" s="133"/>
      <c r="J44" s="133"/>
      <c r="K44" s="133"/>
      <c r="L44" s="165"/>
      <c r="M44" s="56" t="s">
        <v>35</v>
      </c>
      <c r="N44" s="6">
        <v>351</v>
      </c>
      <c r="O44" s="6"/>
      <c r="P44" s="6">
        <v>12</v>
      </c>
      <c r="Q44" s="109" t="s">
        <v>64</v>
      </c>
    </row>
    <row r="45" spans="1:18" ht="20.25" customHeight="1" x14ac:dyDescent="0.25">
      <c r="A45" s="103"/>
      <c r="C45" s="83">
        <f>+IF(C39="X",+C38,0)+IF(C41="X",+C38,0)+IF(C43="X",+C38,0)</f>
        <v>2</v>
      </c>
      <c r="D45" s="83">
        <f>+IF(D39="X",+D38,0)+IF(D41="X",+D38,0)+IF(D43="X",+D38,0)</f>
        <v>2</v>
      </c>
      <c r="E45" s="83">
        <f>+IF(E39="X",+E38,0)+IF(E41="X",+E38,0)+IF(E43="X",+E38,0)</f>
        <v>0</v>
      </c>
      <c r="F45" s="83">
        <f>+IF(F39="X",+F38,0)+IF(F41="X",+F38,0)+IF(F43="X",+F38,0)</f>
        <v>0</v>
      </c>
      <c r="G45" s="82">
        <f>SUM(C45:E45)</f>
        <v>4</v>
      </c>
      <c r="I45" s="1"/>
      <c r="J45" s="1"/>
      <c r="K45" s="1"/>
      <c r="M45" s="10"/>
      <c r="N45" s="27"/>
      <c r="O45" s="27"/>
      <c r="P45" s="27"/>
      <c r="Q45" s="27"/>
    </row>
    <row r="46" spans="1:18" ht="20.25" customHeight="1" x14ac:dyDescent="0.25">
      <c r="A46" s="102">
        <f>SUM(A47:A52)</f>
        <v>3</v>
      </c>
      <c r="B46" s="18" t="s">
        <v>65</v>
      </c>
      <c r="C46" s="83">
        <v>1</v>
      </c>
      <c r="D46" s="83">
        <v>0.5</v>
      </c>
      <c r="E46" s="83">
        <v>-1</v>
      </c>
      <c r="F46" s="83">
        <v>1</v>
      </c>
      <c r="G46" s="82">
        <f>+C46*A46-F53*C46</f>
        <v>3</v>
      </c>
      <c r="I46" s="1"/>
      <c r="J46" s="1"/>
      <c r="K46" s="1"/>
      <c r="M46" s="10"/>
      <c r="N46" s="27"/>
      <c r="O46" s="27"/>
      <c r="P46" s="27"/>
      <c r="Q46" s="27"/>
      <c r="R46" s="94">
        <f>+(A46-G53)/$A$11</f>
        <v>9.6153846153846159E-3</v>
      </c>
    </row>
    <row r="47" spans="1:18" ht="26.4" x14ac:dyDescent="0.25">
      <c r="A47" s="136">
        <v>1</v>
      </c>
      <c r="B47" s="138" t="s">
        <v>66</v>
      </c>
      <c r="C47" s="134"/>
      <c r="D47" s="134" t="s">
        <v>34</v>
      </c>
      <c r="E47" s="134"/>
      <c r="F47" s="134"/>
      <c r="G47" s="134" t="s">
        <v>67</v>
      </c>
      <c r="H47" s="134"/>
      <c r="I47" s="134"/>
      <c r="J47" s="134"/>
      <c r="K47" s="134"/>
      <c r="L47" s="189"/>
      <c r="M47" s="59" t="s">
        <v>41</v>
      </c>
      <c r="N47" s="117">
        <v>19587</v>
      </c>
      <c r="O47" s="3"/>
      <c r="P47" s="3"/>
      <c r="Q47" s="105" t="s">
        <v>68</v>
      </c>
    </row>
    <row r="48" spans="1:18" x14ac:dyDescent="0.25">
      <c r="A48" s="136"/>
      <c r="B48" s="139"/>
      <c r="C48" s="130"/>
      <c r="D48" s="130"/>
      <c r="E48" s="130"/>
      <c r="F48" s="130"/>
      <c r="G48" s="130"/>
      <c r="H48" s="130"/>
      <c r="I48" s="130"/>
      <c r="J48" s="130"/>
      <c r="K48" s="130"/>
      <c r="L48" s="135"/>
      <c r="M48" s="14" t="s">
        <v>35</v>
      </c>
      <c r="N48" s="2">
        <v>351</v>
      </c>
      <c r="O48" s="2">
        <v>1979</v>
      </c>
      <c r="P48" s="2">
        <v>5</v>
      </c>
      <c r="Q48" s="106">
        <v>42</v>
      </c>
    </row>
    <row r="49" spans="1:18" ht="26.4" x14ac:dyDescent="0.25">
      <c r="A49" s="136">
        <v>1</v>
      </c>
      <c r="B49" s="139" t="s">
        <v>69</v>
      </c>
      <c r="C49" s="130" t="s">
        <v>34</v>
      </c>
      <c r="D49" s="130"/>
      <c r="E49" s="130"/>
      <c r="F49" s="130"/>
      <c r="G49" s="130"/>
      <c r="H49" s="130"/>
      <c r="I49" s="130"/>
      <c r="J49" s="130"/>
      <c r="K49" s="130"/>
      <c r="L49" s="135"/>
      <c r="M49" s="62" t="s">
        <v>41</v>
      </c>
      <c r="N49" s="119">
        <v>19587</v>
      </c>
      <c r="O49" s="2"/>
      <c r="P49" s="9"/>
      <c r="Q49" s="106" t="s">
        <v>68</v>
      </c>
    </row>
    <row r="50" spans="1:18" x14ac:dyDescent="0.25">
      <c r="A50" s="136"/>
      <c r="B50" s="139"/>
      <c r="C50" s="130"/>
      <c r="D50" s="130"/>
      <c r="E50" s="130"/>
      <c r="F50" s="130"/>
      <c r="G50" s="130"/>
      <c r="H50" s="130"/>
      <c r="I50" s="130"/>
      <c r="J50" s="130"/>
      <c r="K50" s="130"/>
      <c r="L50" s="135"/>
      <c r="M50" s="13" t="s">
        <v>35</v>
      </c>
      <c r="N50" s="8">
        <v>351</v>
      </c>
      <c r="O50" s="8">
        <v>1979</v>
      </c>
      <c r="P50" s="9">
        <v>5</v>
      </c>
      <c r="Q50" s="107">
        <v>42</v>
      </c>
    </row>
    <row r="51" spans="1:18" x14ac:dyDescent="0.25">
      <c r="A51" s="136">
        <v>1</v>
      </c>
      <c r="B51" s="139" t="s">
        <v>70</v>
      </c>
      <c r="C51" s="130"/>
      <c r="D51" s="130" t="s">
        <v>34</v>
      </c>
      <c r="E51" s="130"/>
      <c r="F51" s="130"/>
      <c r="G51" s="130" t="s">
        <v>71</v>
      </c>
      <c r="H51" s="130"/>
      <c r="I51" s="130"/>
      <c r="J51" s="130"/>
      <c r="K51" s="130"/>
      <c r="L51" s="135"/>
      <c r="M51" s="13" t="s">
        <v>41</v>
      </c>
      <c r="N51" s="120">
        <v>19587</v>
      </c>
      <c r="O51" s="8"/>
      <c r="P51" s="8"/>
      <c r="Q51" s="110" t="s">
        <v>72</v>
      </c>
    </row>
    <row r="52" spans="1:18" x14ac:dyDescent="0.25">
      <c r="A52" s="136"/>
      <c r="B52" s="141"/>
      <c r="C52" s="133"/>
      <c r="D52" s="133"/>
      <c r="E52" s="133"/>
      <c r="F52" s="133"/>
      <c r="G52" s="133"/>
      <c r="H52" s="133"/>
      <c r="I52" s="133"/>
      <c r="J52" s="133"/>
      <c r="K52" s="133"/>
      <c r="L52" s="165"/>
      <c r="M52" s="63" t="s">
        <v>35</v>
      </c>
      <c r="N52" s="7">
        <v>351</v>
      </c>
      <c r="O52" s="7">
        <v>1979</v>
      </c>
      <c r="P52" s="7">
        <v>12</v>
      </c>
      <c r="Q52" s="108">
        <v>81</v>
      </c>
    </row>
    <row r="53" spans="1:18" ht="20.25" customHeight="1" x14ac:dyDescent="0.25">
      <c r="A53" s="103"/>
      <c r="C53" s="83">
        <f>+IF(C47="X",+C46,0)+IF(C49="X",+C46,0)+IF(C51="X",+C46,0)</f>
        <v>1</v>
      </c>
      <c r="D53" s="83">
        <f>+IF(D47="X",+D46,0)+IF(D49="X",+D46,0)+IF(D51="X",+D46,0)</f>
        <v>1</v>
      </c>
      <c r="E53" s="83">
        <f>+IF(E47="X",+E46,0)+IF(E49="X",+E46,0)+IF(E51="X",+E46,0)</f>
        <v>0</v>
      </c>
      <c r="F53" s="83">
        <f>+IF(F47="X",+F46,0)+IF(F49="X",+F46,0)+IF(F51="X",+F46,0)</f>
        <v>0</v>
      </c>
      <c r="G53" s="82">
        <f>SUM(C53:E53)</f>
        <v>2</v>
      </c>
      <c r="I53" s="1"/>
      <c r="J53" s="1"/>
      <c r="K53" s="1"/>
      <c r="M53" s="10"/>
      <c r="N53" s="27"/>
      <c r="O53" s="27"/>
      <c r="P53" s="27"/>
      <c r="Q53" s="27"/>
    </row>
    <row r="54" spans="1:18" ht="20.25" customHeight="1" x14ac:dyDescent="0.25">
      <c r="A54" s="102">
        <f>SUM(A55:A68)</f>
        <v>9</v>
      </c>
      <c r="B54" s="29" t="s">
        <v>73</v>
      </c>
      <c r="C54" s="83">
        <v>3</v>
      </c>
      <c r="D54" s="83">
        <v>1</v>
      </c>
      <c r="E54" s="83">
        <v>-3</v>
      </c>
      <c r="F54" s="83">
        <v>1</v>
      </c>
      <c r="G54" s="82">
        <f>+C54*A54-F69*C54</f>
        <v>18</v>
      </c>
      <c r="I54" s="1"/>
      <c r="J54" s="1"/>
      <c r="K54" s="1"/>
      <c r="M54" s="10"/>
      <c r="N54" s="27"/>
      <c r="O54" s="27"/>
      <c r="P54" s="27"/>
      <c r="Q54" s="27"/>
      <c r="R54" s="94">
        <f>+(A54-G69)/$A$11</f>
        <v>-3.8461538461538464E-2</v>
      </c>
    </row>
    <row r="55" spans="1:18" ht="20.25" customHeight="1" x14ac:dyDescent="0.25">
      <c r="A55" s="136">
        <v>1</v>
      </c>
      <c r="B55" s="138" t="s">
        <v>74</v>
      </c>
      <c r="C55" s="134" t="s">
        <v>34</v>
      </c>
      <c r="D55" s="134"/>
      <c r="E55" s="134"/>
      <c r="F55" s="134"/>
      <c r="G55" s="134"/>
      <c r="H55" s="134"/>
      <c r="I55" s="134"/>
      <c r="J55" s="134"/>
      <c r="K55" s="134"/>
      <c r="L55" s="189"/>
      <c r="M55" s="59" t="s">
        <v>35</v>
      </c>
      <c r="N55" s="3">
        <v>351</v>
      </c>
      <c r="O55" s="3">
        <v>1979</v>
      </c>
      <c r="P55" s="3">
        <v>12</v>
      </c>
      <c r="Q55" s="105">
        <v>80</v>
      </c>
    </row>
    <row r="56" spans="1:18" ht="20.25" customHeight="1" x14ac:dyDescent="0.25">
      <c r="A56" s="136"/>
      <c r="B56" s="139"/>
      <c r="C56" s="130"/>
      <c r="D56" s="130"/>
      <c r="E56" s="130"/>
      <c r="F56" s="130"/>
      <c r="G56" s="130"/>
      <c r="H56" s="130"/>
      <c r="I56" s="130"/>
      <c r="J56" s="130"/>
      <c r="K56" s="130"/>
      <c r="L56" s="135"/>
      <c r="M56" s="14" t="s">
        <v>35</v>
      </c>
      <c r="N56" s="9">
        <v>351</v>
      </c>
      <c r="O56" s="9">
        <v>1979</v>
      </c>
      <c r="P56" s="2">
        <v>18</v>
      </c>
      <c r="Q56" s="106">
        <v>172</v>
      </c>
    </row>
    <row r="57" spans="1:18" ht="20.25" customHeight="1" x14ac:dyDescent="0.25">
      <c r="A57" s="136">
        <v>1</v>
      </c>
      <c r="B57" s="139" t="s">
        <v>75</v>
      </c>
      <c r="C57" s="130" t="s">
        <v>34</v>
      </c>
      <c r="D57" s="130"/>
      <c r="E57" s="130"/>
      <c r="F57" s="130"/>
      <c r="G57" s="130"/>
      <c r="H57" s="130"/>
      <c r="I57" s="130"/>
      <c r="J57" s="130"/>
      <c r="K57" s="130"/>
      <c r="L57" s="135"/>
      <c r="M57" s="14" t="s">
        <v>41</v>
      </c>
      <c r="N57" s="118">
        <v>19587</v>
      </c>
      <c r="O57" s="2"/>
      <c r="P57" s="2"/>
      <c r="Q57" s="107" t="s">
        <v>76</v>
      </c>
    </row>
    <row r="58" spans="1:18" ht="26.4" x14ac:dyDescent="0.25">
      <c r="A58" s="136"/>
      <c r="B58" s="139"/>
      <c r="C58" s="130"/>
      <c r="D58" s="130"/>
      <c r="E58" s="130"/>
      <c r="F58" s="130"/>
      <c r="G58" s="130"/>
      <c r="H58" s="130"/>
      <c r="I58" s="130"/>
      <c r="J58" s="130"/>
      <c r="K58" s="130"/>
      <c r="L58" s="135"/>
      <c r="M58" s="62" t="s">
        <v>35</v>
      </c>
      <c r="N58" s="9">
        <v>351</v>
      </c>
      <c r="O58" s="9">
        <v>1979</v>
      </c>
      <c r="P58" s="9">
        <v>18</v>
      </c>
      <c r="Q58" s="107" t="s">
        <v>77</v>
      </c>
    </row>
    <row r="59" spans="1:18" ht="20.25" customHeight="1" x14ac:dyDescent="0.25">
      <c r="A59" s="101">
        <v>1</v>
      </c>
      <c r="B59" s="36" t="s">
        <v>78</v>
      </c>
      <c r="C59" s="5" t="s">
        <v>34</v>
      </c>
      <c r="D59" s="5"/>
      <c r="E59" s="5"/>
      <c r="F59" s="5"/>
      <c r="G59" s="130"/>
      <c r="H59" s="130"/>
      <c r="I59" s="130"/>
      <c r="J59" s="130"/>
      <c r="K59" s="130"/>
      <c r="L59" s="135"/>
      <c r="M59" s="62" t="s">
        <v>35</v>
      </c>
      <c r="N59" s="9">
        <v>351</v>
      </c>
      <c r="O59" s="9">
        <v>1979</v>
      </c>
      <c r="P59" s="9">
        <v>18</v>
      </c>
      <c r="Q59" s="107" t="s">
        <v>79</v>
      </c>
    </row>
    <row r="60" spans="1:18" ht="26.4" x14ac:dyDescent="0.25">
      <c r="A60" s="101">
        <v>1</v>
      </c>
      <c r="B60" s="36" t="s">
        <v>80</v>
      </c>
      <c r="C60" s="5" t="s">
        <v>34</v>
      </c>
      <c r="D60" s="5"/>
      <c r="E60" s="5"/>
      <c r="F60" s="5"/>
      <c r="G60" s="130"/>
      <c r="H60" s="130"/>
      <c r="I60" s="130"/>
      <c r="J60" s="130"/>
      <c r="K60" s="130"/>
      <c r="L60" s="135"/>
      <c r="M60" s="62" t="s">
        <v>35</v>
      </c>
      <c r="N60" s="9">
        <v>351</v>
      </c>
      <c r="O60" s="9">
        <v>1979</v>
      </c>
      <c r="P60" s="9">
        <v>18</v>
      </c>
      <c r="Q60" s="107" t="s">
        <v>81</v>
      </c>
    </row>
    <row r="61" spans="1:18" ht="26.4" x14ac:dyDescent="0.25">
      <c r="A61" s="101">
        <v>1</v>
      </c>
      <c r="B61" s="36" t="s">
        <v>82</v>
      </c>
      <c r="C61" s="5"/>
      <c r="D61" s="5"/>
      <c r="E61" s="5"/>
      <c r="F61" s="5" t="s">
        <v>34</v>
      </c>
      <c r="G61" s="130"/>
      <c r="H61" s="130"/>
      <c r="I61" s="130"/>
      <c r="J61" s="130"/>
      <c r="K61" s="130"/>
      <c r="L61" s="135"/>
      <c r="M61" s="62" t="s">
        <v>35</v>
      </c>
      <c r="N61" s="9">
        <v>351</v>
      </c>
      <c r="O61" s="9">
        <v>1979</v>
      </c>
      <c r="P61" s="9">
        <v>18</v>
      </c>
      <c r="Q61" s="107" t="s">
        <v>83</v>
      </c>
    </row>
    <row r="62" spans="1:18" ht="26.4" x14ac:dyDescent="0.25">
      <c r="A62" s="101">
        <v>1</v>
      </c>
      <c r="B62" s="36" t="s">
        <v>84</v>
      </c>
      <c r="C62" s="5"/>
      <c r="D62" s="5"/>
      <c r="E62" s="5"/>
      <c r="F62" s="5" t="s">
        <v>34</v>
      </c>
      <c r="G62" s="130"/>
      <c r="H62" s="130"/>
      <c r="I62" s="130"/>
      <c r="J62" s="130"/>
      <c r="K62" s="130"/>
      <c r="L62" s="135"/>
      <c r="M62" s="62" t="s">
        <v>35</v>
      </c>
      <c r="N62" s="9">
        <v>351</v>
      </c>
      <c r="O62" s="9">
        <v>1979</v>
      </c>
      <c r="P62" s="9">
        <v>18</v>
      </c>
      <c r="Q62" s="107" t="s">
        <v>85</v>
      </c>
    </row>
    <row r="63" spans="1:18" ht="20.25" customHeight="1" x14ac:dyDescent="0.25">
      <c r="A63" s="136">
        <v>1</v>
      </c>
      <c r="B63" s="139" t="s">
        <v>86</v>
      </c>
      <c r="C63" s="130" t="s">
        <v>34</v>
      </c>
      <c r="D63" s="130"/>
      <c r="E63" s="130"/>
      <c r="F63" s="130"/>
      <c r="G63" s="130"/>
      <c r="H63" s="130"/>
      <c r="I63" s="130"/>
      <c r="J63" s="130"/>
      <c r="K63" s="130"/>
      <c r="L63" s="135"/>
      <c r="M63" s="13" t="s">
        <v>41</v>
      </c>
      <c r="N63" s="120">
        <v>19587</v>
      </c>
      <c r="O63" s="9"/>
      <c r="P63" s="9"/>
      <c r="Q63" s="107" t="s">
        <v>87</v>
      </c>
    </row>
    <row r="64" spans="1:18" ht="19.5" customHeight="1" x14ac:dyDescent="0.25">
      <c r="A64" s="136"/>
      <c r="B64" s="139"/>
      <c r="C64" s="130"/>
      <c r="D64" s="130"/>
      <c r="E64" s="130"/>
      <c r="F64" s="130"/>
      <c r="G64" s="130"/>
      <c r="H64" s="130"/>
      <c r="I64" s="130"/>
      <c r="J64" s="130"/>
      <c r="K64" s="130"/>
      <c r="L64" s="135"/>
      <c r="M64" s="62" t="s">
        <v>35</v>
      </c>
      <c r="N64" s="9">
        <v>351</v>
      </c>
      <c r="O64" s="9">
        <v>1979</v>
      </c>
      <c r="P64" s="9">
        <v>18</v>
      </c>
      <c r="Q64" s="107">
        <v>187</v>
      </c>
    </row>
    <row r="65" spans="1:18" ht="20.25" customHeight="1" x14ac:dyDescent="0.25">
      <c r="A65" s="136">
        <v>1</v>
      </c>
      <c r="B65" s="139" t="s">
        <v>88</v>
      </c>
      <c r="C65" s="130"/>
      <c r="D65" s="130" t="s">
        <v>34</v>
      </c>
      <c r="E65" s="130"/>
      <c r="F65" s="130"/>
      <c r="G65" s="130" t="s">
        <v>89</v>
      </c>
      <c r="H65" s="130"/>
      <c r="I65" s="130"/>
      <c r="J65" s="130"/>
      <c r="K65" s="130"/>
      <c r="L65" s="135"/>
      <c r="M65" s="13" t="s">
        <v>41</v>
      </c>
      <c r="N65" s="120">
        <v>19587</v>
      </c>
      <c r="O65" s="9"/>
      <c r="P65" s="9"/>
      <c r="Q65" s="110" t="s">
        <v>90</v>
      </c>
    </row>
    <row r="66" spans="1:18" ht="20.25" customHeight="1" x14ac:dyDescent="0.25">
      <c r="A66" s="136"/>
      <c r="B66" s="139"/>
      <c r="C66" s="130"/>
      <c r="D66" s="130"/>
      <c r="E66" s="130"/>
      <c r="F66" s="130"/>
      <c r="G66" s="130"/>
      <c r="H66" s="130"/>
      <c r="I66" s="130"/>
      <c r="J66" s="130"/>
      <c r="K66" s="130"/>
      <c r="L66" s="135"/>
      <c r="M66" s="62" t="s">
        <v>35</v>
      </c>
      <c r="N66" s="9">
        <v>351</v>
      </c>
      <c r="O66" s="9">
        <v>1979</v>
      </c>
      <c r="P66" s="9">
        <v>18</v>
      </c>
      <c r="Q66" s="107">
        <v>169</v>
      </c>
    </row>
    <row r="67" spans="1:18" ht="20.25" customHeight="1" x14ac:dyDescent="0.25">
      <c r="A67" s="136">
        <v>1</v>
      </c>
      <c r="B67" s="139" t="s">
        <v>91</v>
      </c>
      <c r="C67" s="130"/>
      <c r="D67" s="130"/>
      <c r="E67" s="130"/>
      <c r="F67" s="130" t="s">
        <v>34</v>
      </c>
      <c r="G67" s="130"/>
      <c r="H67" s="130"/>
      <c r="I67" s="130"/>
      <c r="J67" s="130"/>
      <c r="K67" s="130"/>
      <c r="L67" s="135"/>
      <c r="M67" s="13" t="s">
        <v>41</v>
      </c>
      <c r="N67" s="120">
        <v>19587</v>
      </c>
      <c r="O67" s="8"/>
      <c r="P67" s="8"/>
      <c r="Q67" s="110" t="s">
        <v>90</v>
      </c>
    </row>
    <row r="68" spans="1:18" ht="20.25" customHeight="1" x14ac:dyDescent="0.25">
      <c r="A68" s="136"/>
      <c r="B68" s="141"/>
      <c r="C68" s="133"/>
      <c r="D68" s="133"/>
      <c r="E68" s="133"/>
      <c r="F68" s="133"/>
      <c r="G68" s="133"/>
      <c r="H68" s="133"/>
      <c r="I68" s="133"/>
      <c r="J68" s="133"/>
      <c r="K68" s="133"/>
      <c r="L68" s="165"/>
      <c r="M68" s="63" t="s">
        <v>35</v>
      </c>
      <c r="N68" s="7">
        <v>351</v>
      </c>
      <c r="O68" s="7">
        <v>1979</v>
      </c>
      <c r="P68" s="7">
        <v>18</v>
      </c>
      <c r="Q68" s="108">
        <v>169</v>
      </c>
    </row>
    <row r="69" spans="1:18" ht="20.25" customHeight="1" x14ac:dyDescent="0.25">
      <c r="A69" s="103"/>
      <c r="C69" s="83">
        <f>+IF(C55="X",+C54,0)+IF(C57="X",+C54,0)+IF(C59="X",+C54,0)+IF(C61="X",+C54,0)+IF(C62="X",+C54,0)+IF(C63="X",+C54,0)+IF(C65="X",+C54,0)+IF(C67="X",+C54,0)</f>
        <v>12</v>
      </c>
      <c r="D69" s="83">
        <f>+IF(D55="X",+D54,0)+IF(D57="X",+D54,0)+IF(D59="X",+D60,0)+IF(D61="X",+D54,0)+IF(D62="X",+D54,0)+IF(D63="X",+D54,0)+IF(D65="X",+D54,0)+IF(D67="X",+D54,0)</f>
        <v>1</v>
      </c>
      <c r="E69" s="83">
        <f>+IF(E55="X",+E54,0)+IF(E57="X",+E54,0)+IF(E59="X",+E60,0)+IF(E61="X",+E54,0)+IF(E62="X",+E54,0)+IF(E63="X",+E54,0)+IF(E65="X",+E54,0)+IF(E67="X",+E54,0)</f>
        <v>0</v>
      </c>
      <c r="F69" s="83">
        <f>+IF(F55="X",+F54,0)+IF(F57="X",+F54,0)+IF(F59="X",+F60,0)+IF(F61="X",+F54,0)+IF(F62="X",+F54,0)+IF(F63="X",+F54,0)+IF(F65="X",+F54,0)+IF(F67="X",+F54,0)</f>
        <v>3</v>
      </c>
      <c r="G69" s="82">
        <f>SUM(C69:E69)</f>
        <v>13</v>
      </c>
      <c r="I69" s="1"/>
      <c r="J69" s="1"/>
      <c r="K69" s="1"/>
      <c r="M69" s="10"/>
      <c r="N69" s="27"/>
      <c r="O69" s="27"/>
      <c r="P69" s="27"/>
      <c r="Q69" s="27"/>
    </row>
    <row r="70" spans="1:18" ht="20.25" customHeight="1" x14ac:dyDescent="0.25">
      <c r="A70" s="102">
        <f>SUM(A71:A76)</f>
        <v>3</v>
      </c>
      <c r="B70" s="18" t="s">
        <v>92</v>
      </c>
      <c r="C70" s="83">
        <v>1</v>
      </c>
      <c r="D70" s="83">
        <v>0.5</v>
      </c>
      <c r="E70" s="83">
        <v>-1</v>
      </c>
      <c r="F70" s="83">
        <v>1</v>
      </c>
      <c r="G70" s="82">
        <f>+C70*A70-F77*C70</f>
        <v>3</v>
      </c>
      <c r="I70" s="1"/>
      <c r="J70" s="1"/>
      <c r="K70" s="1"/>
      <c r="M70" s="10"/>
      <c r="N70" s="27"/>
      <c r="O70" s="27"/>
      <c r="P70" s="27"/>
      <c r="Q70" s="27"/>
      <c r="R70" s="94">
        <f>+(A70-G77)/$A$11</f>
        <v>0</v>
      </c>
    </row>
    <row r="71" spans="1:18" ht="26.25" customHeight="1" x14ac:dyDescent="0.25">
      <c r="A71" s="136">
        <v>1</v>
      </c>
      <c r="B71" s="138" t="s">
        <v>93</v>
      </c>
      <c r="C71" s="134" t="s">
        <v>34</v>
      </c>
      <c r="D71" s="134"/>
      <c r="E71" s="134"/>
      <c r="F71" s="134"/>
      <c r="G71" s="134"/>
      <c r="H71" s="134"/>
      <c r="I71" s="134"/>
      <c r="J71" s="134"/>
      <c r="K71" s="134"/>
      <c r="L71" s="189"/>
      <c r="M71" s="59" t="s">
        <v>41</v>
      </c>
      <c r="N71" s="121">
        <v>19587</v>
      </c>
      <c r="O71" s="15"/>
      <c r="P71" s="3"/>
      <c r="Q71" s="105" t="s">
        <v>94</v>
      </c>
    </row>
    <row r="72" spans="1:18" x14ac:dyDescent="0.25">
      <c r="A72" s="136"/>
      <c r="B72" s="139"/>
      <c r="C72" s="130"/>
      <c r="D72" s="130"/>
      <c r="E72" s="130"/>
      <c r="F72" s="130"/>
      <c r="G72" s="130"/>
      <c r="H72" s="130"/>
      <c r="I72" s="130"/>
      <c r="J72" s="130"/>
      <c r="K72" s="130"/>
      <c r="L72" s="135"/>
      <c r="M72" s="62" t="s">
        <v>35</v>
      </c>
      <c r="N72" s="8">
        <v>351</v>
      </c>
      <c r="O72" s="8">
        <v>1979</v>
      </c>
      <c r="P72" s="2">
        <v>18</v>
      </c>
      <c r="Q72" s="106">
        <v>169</v>
      </c>
    </row>
    <row r="73" spans="1:18" ht="18" customHeight="1" x14ac:dyDescent="0.25">
      <c r="A73" s="136">
        <v>1</v>
      </c>
      <c r="B73" s="139" t="s">
        <v>95</v>
      </c>
      <c r="C73" s="130" t="s">
        <v>34</v>
      </c>
      <c r="D73" s="130"/>
      <c r="E73" s="130"/>
      <c r="F73" s="130"/>
      <c r="G73" s="130"/>
      <c r="H73" s="130"/>
      <c r="I73" s="130"/>
      <c r="J73" s="130"/>
      <c r="K73" s="130"/>
      <c r="L73" s="135"/>
      <c r="M73" s="62" t="s">
        <v>41</v>
      </c>
      <c r="N73" s="120">
        <v>19587</v>
      </c>
      <c r="O73" s="8"/>
      <c r="P73" s="2"/>
      <c r="Q73" s="107" t="s">
        <v>96</v>
      </c>
    </row>
    <row r="74" spans="1:18" ht="26.4" x14ac:dyDescent="0.25">
      <c r="A74" s="136"/>
      <c r="B74" s="139"/>
      <c r="C74" s="130"/>
      <c r="D74" s="130"/>
      <c r="E74" s="130"/>
      <c r="F74" s="130"/>
      <c r="G74" s="130"/>
      <c r="H74" s="130"/>
      <c r="I74" s="130"/>
      <c r="J74" s="130"/>
      <c r="K74" s="130"/>
      <c r="L74" s="135"/>
      <c r="M74" s="62" t="s">
        <v>35</v>
      </c>
      <c r="N74" s="8">
        <v>351</v>
      </c>
      <c r="O74" s="8">
        <v>1979</v>
      </c>
      <c r="P74" s="9">
        <v>5</v>
      </c>
      <c r="Q74" s="107" t="s">
        <v>97</v>
      </c>
    </row>
    <row r="75" spans="1:18" ht="15.75" customHeight="1" x14ac:dyDescent="0.25">
      <c r="A75" s="136">
        <v>1</v>
      </c>
      <c r="B75" s="139" t="s">
        <v>98</v>
      </c>
      <c r="C75" s="130" t="s">
        <v>34</v>
      </c>
      <c r="D75" s="130"/>
      <c r="E75" s="130"/>
      <c r="F75" s="130"/>
      <c r="G75" s="130"/>
      <c r="H75" s="130"/>
      <c r="I75" s="130"/>
      <c r="J75" s="130"/>
      <c r="K75" s="130"/>
      <c r="L75" s="135"/>
      <c r="M75" s="62" t="s">
        <v>41</v>
      </c>
      <c r="N75" s="120">
        <v>19587</v>
      </c>
      <c r="O75" s="8"/>
      <c r="P75" s="8"/>
      <c r="Q75" s="107" t="s">
        <v>96</v>
      </c>
    </row>
    <row r="76" spans="1:18" ht="26.4" x14ac:dyDescent="0.25">
      <c r="A76" s="136"/>
      <c r="B76" s="141"/>
      <c r="C76" s="133"/>
      <c r="D76" s="133"/>
      <c r="E76" s="133"/>
      <c r="F76" s="133"/>
      <c r="G76" s="133"/>
      <c r="H76" s="133"/>
      <c r="I76" s="133"/>
      <c r="J76" s="133"/>
      <c r="K76" s="133"/>
      <c r="L76" s="165"/>
      <c r="M76" s="63" t="s">
        <v>35</v>
      </c>
      <c r="N76" s="7">
        <v>351</v>
      </c>
      <c r="O76" s="7">
        <v>1979</v>
      </c>
      <c r="P76" s="7">
        <v>5</v>
      </c>
      <c r="Q76" s="108" t="s">
        <v>97</v>
      </c>
    </row>
    <row r="77" spans="1:18" ht="20.25" customHeight="1" x14ac:dyDescent="0.25">
      <c r="A77" s="103"/>
      <c r="C77" s="83">
        <f>+IF(C71="X",+C70,0)+IF(C73="X",+C70,0)+IF(C75="X",+C70,0)</f>
        <v>3</v>
      </c>
      <c r="D77" s="83">
        <f>+IF(D71="X",+D70,0)+IF(D73="X",+D70,0)+IF(D75="X",+D70,0)</f>
        <v>0</v>
      </c>
      <c r="E77" s="83">
        <f>+IF(E71="X",+E70,0)+IF(E73="X",+E70,0)+IF(E75="X",+E70,0)</f>
        <v>0</v>
      </c>
      <c r="F77" s="83">
        <f>+IF(F71="X",+F70,0)+IF(F73="X",+F70,0)+IF(F75="X",+F70,0)</f>
        <v>0</v>
      </c>
      <c r="G77" s="82">
        <f>SUM(C77:E77)</f>
        <v>3</v>
      </c>
      <c r="I77" s="1"/>
      <c r="J77" s="1"/>
      <c r="K77" s="1"/>
      <c r="M77" s="10"/>
      <c r="N77" s="27"/>
      <c r="O77" s="27"/>
      <c r="P77" s="27"/>
      <c r="Q77" s="27"/>
    </row>
    <row r="78" spans="1:18" ht="20.25" customHeight="1" x14ac:dyDescent="0.25">
      <c r="A78" s="102">
        <f>SUM(A79:A92)</f>
        <v>7</v>
      </c>
      <c r="B78" s="18" t="s">
        <v>99</v>
      </c>
      <c r="C78" s="83">
        <v>2</v>
      </c>
      <c r="D78" s="83">
        <v>1</v>
      </c>
      <c r="E78" s="83">
        <v>-2</v>
      </c>
      <c r="F78" s="83">
        <v>1</v>
      </c>
      <c r="G78" s="82">
        <f>+C78*A78-F93*C78</f>
        <v>6</v>
      </c>
      <c r="I78" s="1"/>
      <c r="J78" s="1"/>
      <c r="K78" s="1"/>
      <c r="M78" s="10"/>
      <c r="N78" s="27"/>
      <c r="O78" s="27"/>
      <c r="P78" s="27"/>
      <c r="Q78" s="27"/>
      <c r="R78" s="94">
        <f>+(A78-G93)/$A$11</f>
        <v>9.6153846153846159E-3</v>
      </c>
    </row>
    <row r="79" spans="1:18" x14ac:dyDescent="0.25">
      <c r="A79" s="136">
        <v>1</v>
      </c>
      <c r="B79" s="138" t="s">
        <v>100</v>
      </c>
      <c r="C79" s="134" t="s">
        <v>34</v>
      </c>
      <c r="D79" s="134"/>
      <c r="E79" s="134"/>
      <c r="F79" s="134"/>
      <c r="G79" s="134"/>
      <c r="H79" s="134"/>
      <c r="I79" s="134"/>
      <c r="J79" s="134"/>
      <c r="K79" s="134"/>
      <c r="L79" s="189"/>
      <c r="M79" s="59" t="s">
        <v>41</v>
      </c>
      <c r="N79" s="121">
        <v>19587</v>
      </c>
      <c r="O79" s="15"/>
      <c r="P79" s="15"/>
      <c r="Q79" s="105" t="s">
        <v>96</v>
      </c>
    </row>
    <row r="80" spans="1:18" ht="39.6" x14ac:dyDescent="0.25">
      <c r="A80" s="136"/>
      <c r="B80" s="139"/>
      <c r="C80" s="130"/>
      <c r="D80" s="130"/>
      <c r="E80" s="130"/>
      <c r="F80" s="130"/>
      <c r="G80" s="130"/>
      <c r="H80" s="130"/>
      <c r="I80" s="130"/>
      <c r="J80" s="130"/>
      <c r="K80" s="130"/>
      <c r="L80" s="135"/>
      <c r="M80" s="62" t="s">
        <v>35</v>
      </c>
      <c r="N80" s="8">
        <v>351</v>
      </c>
      <c r="O80" s="8">
        <v>1979</v>
      </c>
      <c r="P80" s="2">
        <v>17</v>
      </c>
      <c r="Q80" s="106" t="s">
        <v>101</v>
      </c>
    </row>
    <row r="81" spans="1:18" ht="19.5" customHeight="1" x14ac:dyDescent="0.25">
      <c r="A81" s="136">
        <v>1</v>
      </c>
      <c r="B81" s="139" t="s">
        <v>102</v>
      </c>
      <c r="C81" s="130"/>
      <c r="D81" s="130"/>
      <c r="E81" s="130"/>
      <c r="F81" s="130" t="s">
        <v>34</v>
      </c>
      <c r="G81" s="130"/>
      <c r="H81" s="130"/>
      <c r="I81" s="130"/>
      <c r="J81" s="130"/>
      <c r="K81" s="130"/>
      <c r="L81" s="135"/>
      <c r="M81" s="62" t="s">
        <v>41</v>
      </c>
      <c r="N81" s="120">
        <v>19587</v>
      </c>
      <c r="O81" s="8"/>
      <c r="P81" s="2"/>
      <c r="Q81" s="111" t="s">
        <v>103</v>
      </c>
    </row>
    <row r="82" spans="1:18" ht="21" customHeight="1" x14ac:dyDescent="0.25">
      <c r="A82" s="136"/>
      <c r="B82" s="139"/>
      <c r="C82" s="130"/>
      <c r="D82" s="130"/>
      <c r="E82" s="130"/>
      <c r="F82" s="130"/>
      <c r="G82" s="130"/>
      <c r="H82" s="130"/>
      <c r="I82" s="130"/>
      <c r="J82" s="130"/>
      <c r="K82" s="130"/>
      <c r="L82" s="135"/>
      <c r="M82" s="62" t="s">
        <v>35</v>
      </c>
      <c r="N82" s="8">
        <v>351</v>
      </c>
      <c r="O82" s="8">
        <v>1979</v>
      </c>
      <c r="P82" s="2">
        <v>17</v>
      </c>
      <c r="Q82" s="107">
        <v>148</v>
      </c>
    </row>
    <row r="83" spans="1:18" ht="20.25" customHeight="1" x14ac:dyDescent="0.25">
      <c r="A83" s="136">
        <v>1</v>
      </c>
      <c r="B83" s="139" t="s">
        <v>104</v>
      </c>
      <c r="C83" s="130"/>
      <c r="D83" s="130"/>
      <c r="E83" s="130"/>
      <c r="F83" s="130" t="s">
        <v>34</v>
      </c>
      <c r="G83" s="130"/>
      <c r="H83" s="130"/>
      <c r="I83" s="130"/>
      <c r="J83" s="130"/>
      <c r="K83" s="130"/>
      <c r="L83" s="135"/>
      <c r="M83" s="62" t="s">
        <v>41</v>
      </c>
      <c r="N83" s="120">
        <v>19587</v>
      </c>
      <c r="O83" s="8"/>
      <c r="P83" s="2"/>
      <c r="Q83" s="107" t="s">
        <v>105</v>
      </c>
    </row>
    <row r="84" spans="1:18" x14ac:dyDescent="0.25">
      <c r="A84" s="136"/>
      <c r="B84" s="139"/>
      <c r="C84" s="130"/>
      <c r="D84" s="130"/>
      <c r="E84" s="130"/>
      <c r="F84" s="130"/>
      <c r="G84" s="130"/>
      <c r="H84" s="130"/>
      <c r="I84" s="130"/>
      <c r="J84" s="130"/>
      <c r="K84" s="130"/>
      <c r="L84" s="135"/>
      <c r="M84" s="62" t="s">
        <v>35</v>
      </c>
      <c r="N84" s="8">
        <v>351</v>
      </c>
      <c r="O84" s="8">
        <v>1979</v>
      </c>
      <c r="P84" s="2">
        <v>17</v>
      </c>
      <c r="Q84" s="107">
        <v>146</v>
      </c>
    </row>
    <row r="85" spans="1:18" ht="24" customHeight="1" x14ac:dyDescent="0.25">
      <c r="A85" s="136">
        <v>1</v>
      </c>
      <c r="B85" s="139" t="s">
        <v>106</v>
      </c>
      <c r="C85" s="130"/>
      <c r="D85" s="130"/>
      <c r="E85" s="130"/>
      <c r="F85" s="130" t="s">
        <v>34</v>
      </c>
      <c r="G85" s="130"/>
      <c r="H85" s="130"/>
      <c r="I85" s="130"/>
      <c r="J85" s="130"/>
      <c r="K85" s="130"/>
      <c r="L85" s="135"/>
      <c r="M85" s="62" t="s">
        <v>41</v>
      </c>
      <c r="N85" s="120">
        <v>19587</v>
      </c>
      <c r="O85" s="8"/>
      <c r="P85" s="2"/>
      <c r="Q85" s="111" t="s">
        <v>107</v>
      </c>
    </row>
    <row r="86" spans="1:18" x14ac:dyDescent="0.25">
      <c r="A86" s="136"/>
      <c r="B86" s="139"/>
      <c r="C86" s="130"/>
      <c r="D86" s="130"/>
      <c r="E86" s="130"/>
      <c r="F86" s="130"/>
      <c r="G86" s="130"/>
      <c r="H86" s="130"/>
      <c r="I86" s="130"/>
      <c r="J86" s="130"/>
      <c r="K86" s="130"/>
      <c r="L86" s="135"/>
      <c r="M86" s="62" t="s">
        <v>35</v>
      </c>
      <c r="N86" s="8">
        <v>351</v>
      </c>
      <c r="O86" s="8">
        <v>1979</v>
      </c>
      <c r="P86" s="2">
        <v>17</v>
      </c>
      <c r="Q86" s="107">
        <v>149</v>
      </c>
    </row>
    <row r="87" spans="1:18" ht="26.25" customHeight="1" x14ac:dyDescent="0.25">
      <c r="A87" s="136">
        <v>1</v>
      </c>
      <c r="B87" s="139" t="s">
        <v>108</v>
      </c>
      <c r="C87" s="130"/>
      <c r="D87" s="130"/>
      <c r="E87" s="130"/>
      <c r="F87" s="130" t="s">
        <v>34</v>
      </c>
      <c r="G87" s="130"/>
      <c r="H87" s="130"/>
      <c r="I87" s="130"/>
      <c r="J87" s="130"/>
      <c r="K87" s="130"/>
      <c r="L87" s="135"/>
      <c r="M87" s="62" t="s">
        <v>41</v>
      </c>
      <c r="N87" s="120">
        <v>19587</v>
      </c>
      <c r="O87" s="8"/>
      <c r="P87" s="2"/>
      <c r="Q87" s="107" t="s">
        <v>109</v>
      </c>
    </row>
    <row r="88" spans="1:18" x14ac:dyDescent="0.25">
      <c r="A88" s="136"/>
      <c r="B88" s="139"/>
      <c r="C88" s="130"/>
      <c r="D88" s="130"/>
      <c r="E88" s="130"/>
      <c r="F88" s="130"/>
      <c r="G88" s="130"/>
      <c r="H88" s="130"/>
      <c r="I88" s="130"/>
      <c r="J88" s="130"/>
      <c r="K88" s="130"/>
      <c r="L88" s="135"/>
      <c r="M88" s="62" t="s">
        <v>35</v>
      </c>
      <c r="N88" s="8">
        <v>351</v>
      </c>
      <c r="O88" s="8">
        <v>1979</v>
      </c>
      <c r="P88" s="2">
        <v>17</v>
      </c>
      <c r="Q88" s="107">
        <v>148</v>
      </c>
    </row>
    <row r="89" spans="1:18" ht="28.5" customHeight="1" x14ac:dyDescent="0.25">
      <c r="A89" s="136">
        <v>1</v>
      </c>
      <c r="B89" s="139" t="s">
        <v>110</v>
      </c>
      <c r="C89" s="130" t="s">
        <v>34</v>
      </c>
      <c r="D89" s="130"/>
      <c r="E89" s="130"/>
      <c r="F89" s="130"/>
      <c r="G89" s="130"/>
      <c r="H89" s="130"/>
      <c r="I89" s="130"/>
      <c r="J89" s="130"/>
      <c r="K89" s="130"/>
      <c r="L89" s="135"/>
      <c r="M89" s="62" t="s">
        <v>41</v>
      </c>
      <c r="N89" s="120">
        <v>19587</v>
      </c>
      <c r="O89" s="9"/>
      <c r="P89" s="9"/>
      <c r="Q89" s="107" t="s">
        <v>111</v>
      </c>
    </row>
    <row r="90" spans="1:18" x14ac:dyDescent="0.25">
      <c r="A90" s="136"/>
      <c r="B90" s="139"/>
      <c r="C90" s="130"/>
      <c r="D90" s="130"/>
      <c r="E90" s="130"/>
      <c r="F90" s="130"/>
      <c r="G90" s="130"/>
      <c r="H90" s="130"/>
      <c r="I90" s="130"/>
      <c r="J90" s="130"/>
      <c r="K90" s="130"/>
      <c r="L90" s="135"/>
      <c r="M90" s="62" t="s">
        <v>35</v>
      </c>
      <c r="N90" s="8">
        <v>351</v>
      </c>
      <c r="O90" s="8">
        <v>1979</v>
      </c>
      <c r="P90" s="9">
        <v>17</v>
      </c>
      <c r="Q90" s="107">
        <v>150</v>
      </c>
    </row>
    <row r="91" spans="1:18" x14ac:dyDescent="0.25">
      <c r="A91" s="136">
        <v>1</v>
      </c>
      <c r="B91" s="139" t="s">
        <v>112</v>
      </c>
      <c r="C91" s="130" t="s">
        <v>34</v>
      </c>
      <c r="D91" s="130"/>
      <c r="E91" s="130"/>
      <c r="F91" s="130"/>
      <c r="G91" s="130"/>
      <c r="H91" s="130"/>
      <c r="I91" s="130"/>
      <c r="J91" s="130"/>
      <c r="K91" s="130"/>
      <c r="L91" s="135"/>
      <c r="M91" s="13" t="s">
        <v>41</v>
      </c>
      <c r="N91" s="120">
        <v>19587</v>
      </c>
      <c r="O91" s="8"/>
      <c r="P91" s="8"/>
      <c r="Q91" s="110" t="s">
        <v>113</v>
      </c>
    </row>
    <row r="92" spans="1:18" x14ac:dyDescent="0.25">
      <c r="A92" s="136"/>
      <c r="B92" s="141"/>
      <c r="C92" s="133"/>
      <c r="D92" s="133"/>
      <c r="E92" s="133"/>
      <c r="F92" s="133"/>
      <c r="G92" s="133"/>
      <c r="H92" s="133"/>
      <c r="I92" s="133"/>
      <c r="J92" s="133"/>
      <c r="K92" s="133"/>
      <c r="L92" s="165"/>
      <c r="M92" s="63" t="s">
        <v>35</v>
      </c>
      <c r="N92" s="7">
        <v>351</v>
      </c>
      <c r="O92" s="7">
        <v>1979</v>
      </c>
      <c r="P92" s="7">
        <v>17</v>
      </c>
      <c r="Q92" s="108">
        <v>145</v>
      </c>
    </row>
    <row r="93" spans="1:18" ht="20.25" customHeight="1" x14ac:dyDescent="0.25">
      <c r="A93" s="103"/>
      <c r="C93" s="83">
        <f>+IF(C79="X",+C78,0)+IF(C81="X",+C78,0)+IF(C83="X",+C78,0)+IF(C85="X",+C78,0)+IF(C87="X",+C78,0)+IF(C89="X",+C78,0)+IF(C91="X",+C78,0)</f>
        <v>6</v>
      </c>
      <c r="D93" s="83">
        <f>+IF(D79="X",+D78,0)+IF(D81="X",+D78,0)+IF(D83="X",+D78,0)+IF(D85="X",+D78,0)+IF(D87="X",+D78,0)+IF(D89="X",+D78,0)+IF(D91="X",+D78,0)</f>
        <v>0</v>
      </c>
      <c r="E93" s="83">
        <f>+IF(E79="X",+E78,0)+IF(E81="X",+E78,0)+IF(E83="X",+E78,0)+IF(E85="X",+E78,0)+IF(E87="X",+E78,0)+IF(E89="X",+E78,0)+IF(E91="X",+E78,0)</f>
        <v>0</v>
      </c>
      <c r="F93" s="83">
        <f>+IF(F79="X",+F78,0)+IF(F81="X",+F78,0)+IF(F83="X",+F78,0)+IF(F85="X",+F78,0)+IF(F87="X",+F78,0)+IF(F89="X",+F78,0)+IF(F91="X",+F78,0)</f>
        <v>4</v>
      </c>
      <c r="G93" s="82">
        <f>SUM(C93:E93)</f>
        <v>6</v>
      </c>
      <c r="I93" s="1"/>
      <c r="J93" s="1"/>
      <c r="K93" s="1"/>
      <c r="M93" s="10"/>
      <c r="N93" s="27"/>
      <c r="O93" s="27"/>
      <c r="P93" s="27"/>
      <c r="Q93" s="27"/>
    </row>
    <row r="94" spans="1:18" ht="20.25" customHeight="1" x14ac:dyDescent="0.25">
      <c r="A94" s="102">
        <f>SUM(A95:A116)</f>
        <v>11</v>
      </c>
      <c r="B94" s="18" t="s">
        <v>114</v>
      </c>
      <c r="C94" s="83">
        <v>3</v>
      </c>
      <c r="D94" s="83">
        <v>1</v>
      </c>
      <c r="E94" s="83">
        <v>-3</v>
      </c>
      <c r="F94" s="83">
        <v>1</v>
      </c>
      <c r="G94" s="82">
        <f>+C94*A94-F117*C94</f>
        <v>21</v>
      </c>
      <c r="I94" s="1"/>
      <c r="J94" s="1"/>
      <c r="K94" s="1"/>
      <c r="M94" s="10"/>
      <c r="N94" s="27"/>
      <c r="O94" s="27"/>
      <c r="P94" s="27"/>
      <c r="Q94" s="27"/>
      <c r="R94" s="94">
        <f>+(A94-G117)/$A$11</f>
        <v>-1.9230769230769232E-2</v>
      </c>
    </row>
    <row r="95" spans="1:18" ht="20.25" customHeight="1" x14ac:dyDescent="0.25">
      <c r="A95" s="136">
        <v>1</v>
      </c>
      <c r="B95" s="142" t="s">
        <v>115</v>
      </c>
      <c r="C95" s="134"/>
      <c r="D95" s="134" t="s">
        <v>34</v>
      </c>
      <c r="E95" s="134"/>
      <c r="F95" s="134"/>
      <c r="G95" s="134" t="s">
        <v>116</v>
      </c>
      <c r="H95" s="134"/>
      <c r="I95" s="134"/>
      <c r="J95" s="134"/>
      <c r="K95" s="134"/>
      <c r="L95" s="189"/>
      <c r="M95" s="59" t="s">
        <v>41</v>
      </c>
      <c r="N95" s="121">
        <v>19587</v>
      </c>
      <c r="O95" s="15"/>
      <c r="P95" s="3"/>
      <c r="Q95" s="105" t="s">
        <v>117</v>
      </c>
    </row>
    <row r="96" spans="1:18" ht="26.4" x14ac:dyDescent="0.25">
      <c r="A96" s="136"/>
      <c r="B96" s="137"/>
      <c r="C96" s="130"/>
      <c r="D96" s="130"/>
      <c r="E96" s="130"/>
      <c r="F96" s="130"/>
      <c r="G96" s="130"/>
      <c r="H96" s="130"/>
      <c r="I96" s="130"/>
      <c r="J96" s="130"/>
      <c r="K96" s="130"/>
      <c r="L96" s="135"/>
      <c r="M96" s="14" t="s">
        <v>35</v>
      </c>
      <c r="N96" s="8">
        <v>351</v>
      </c>
      <c r="O96" s="8">
        <v>1979</v>
      </c>
      <c r="P96" s="2">
        <v>14</v>
      </c>
      <c r="Q96" s="106" t="s">
        <v>118</v>
      </c>
    </row>
    <row r="97" spans="1:17" x14ac:dyDescent="0.25">
      <c r="A97" s="136">
        <v>1</v>
      </c>
      <c r="B97" s="137" t="s">
        <v>119</v>
      </c>
      <c r="C97" s="130" t="s">
        <v>34</v>
      </c>
      <c r="D97" s="130"/>
      <c r="E97" s="130"/>
      <c r="F97" s="130"/>
      <c r="G97" s="130"/>
      <c r="H97" s="130"/>
      <c r="I97" s="130"/>
      <c r="J97" s="130"/>
      <c r="K97" s="130"/>
      <c r="L97" s="135"/>
      <c r="M97" s="14" t="s">
        <v>41</v>
      </c>
      <c r="N97" s="120">
        <v>19587</v>
      </c>
      <c r="O97" s="8"/>
      <c r="P97" s="2"/>
      <c r="Q97" s="106" t="s">
        <v>117</v>
      </c>
    </row>
    <row r="98" spans="1:17" ht="20.25" customHeight="1" x14ac:dyDescent="0.25">
      <c r="A98" s="136"/>
      <c r="B98" s="137"/>
      <c r="C98" s="130"/>
      <c r="D98" s="130"/>
      <c r="E98" s="130"/>
      <c r="F98" s="130"/>
      <c r="G98" s="130"/>
      <c r="H98" s="130"/>
      <c r="I98" s="130"/>
      <c r="J98" s="130"/>
      <c r="K98" s="130"/>
      <c r="L98" s="135"/>
      <c r="M98" s="14" t="s">
        <v>35</v>
      </c>
      <c r="N98" s="8">
        <v>351</v>
      </c>
      <c r="O98" s="8">
        <v>1979</v>
      </c>
      <c r="P98" s="2">
        <v>14</v>
      </c>
      <c r="Q98" s="106" t="s">
        <v>118</v>
      </c>
    </row>
    <row r="99" spans="1:17" x14ac:dyDescent="0.25">
      <c r="A99" s="136">
        <v>1</v>
      </c>
      <c r="B99" s="137" t="s">
        <v>120</v>
      </c>
      <c r="C99" s="130"/>
      <c r="D99" s="130" t="s">
        <v>34</v>
      </c>
      <c r="E99" s="130"/>
      <c r="F99" s="130"/>
      <c r="G99" s="130"/>
      <c r="H99" s="130"/>
      <c r="I99" s="130"/>
      <c r="J99" s="130"/>
      <c r="K99" s="130"/>
      <c r="L99" s="135"/>
      <c r="M99" s="14" t="s">
        <v>41</v>
      </c>
      <c r="N99" s="120">
        <v>19587</v>
      </c>
      <c r="O99" s="8"/>
      <c r="P99" s="2"/>
      <c r="Q99" s="106" t="s">
        <v>117</v>
      </c>
    </row>
    <row r="100" spans="1:17" ht="26.4" x14ac:dyDescent="0.25">
      <c r="A100" s="136"/>
      <c r="B100" s="137"/>
      <c r="C100" s="130"/>
      <c r="D100" s="130"/>
      <c r="E100" s="130"/>
      <c r="F100" s="130"/>
      <c r="G100" s="130"/>
      <c r="H100" s="130"/>
      <c r="I100" s="130"/>
      <c r="J100" s="130"/>
      <c r="K100" s="130"/>
      <c r="L100" s="135"/>
      <c r="M100" s="14" t="s">
        <v>35</v>
      </c>
      <c r="N100" s="8">
        <v>351</v>
      </c>
      <c r="O100" s="8">
        <v>1979</v>
      </c>
      <c r="P100" s="2">
        <v>14</v>
      </c>
      <c r="Q100" s="106" t="s">
        <v>118</v>
      </c>
    </row>
    <row r="101" spans="1:17" x14ac:dyDescent="0.25">
      <c r="A101" s="136">
        <v>1</v>
      </c>
      <c r="B101" s="137" t="s">
        <v>121</v>
      </c>
      <c r="C101" s="130" t="s">
        <v>34</v>
      </c>
      <c r="D101" s="130"/>
      <c r="E101" s="130"/>
      <c r="F101" s="130"/>
      <c r="G101" s="130"/>
      <c r="H101" s="130"/>
      <c r="I101" s="130"/>
      <c r="J101" s="130"/>
      <c r="K101" s="130"/>
      <c r="L101" s="135"/>
      <c r="M101" s="14" t="s">
        <v>41</v>
      </c>
      <c r="N101" s="120">
        <v>19587</v>
      </c>
      <c r="O101" s="8"/>
      <c r="P101" s="2"/>
      <c r="Q101" s="107" t="s">
        <v>122</v>
      </c>
    </row>
    <row r="102" spans="1:17" x14ac:dyDescent="0.25">
      <c r="A102" s="136"/>
      <c r="B102" s="137"/>
      <c r="C102" s="130"/>
      <c r="D102" s="130"/>
      <c r="E102" s="130"/>
      <c r="F102" s="130"/>
      <c r="G102" s="130"/>
      <c r="H102" s="130"/>
      <c r="I102" s="130"/>
      <c r="J102" s="130"/>
      <c r="K102" s="130"/>
      <c r="L102" s="135"/>
      <c r="M102" s="14" t="s">
        <v>35</v>
      </c>
      <c r="N102" s="8">
        <v>351</v>
      </c>
      <c r="O102" s="8">
        <v>1979</v>
      </c>
      <c r="P102" s="2">
        <v>14</v>
      </c>
      <c r="Q102" s="107">
        <v>98</v>
      </c>
    </row>
    <row r="103" spans="1:17" ht="21.75" customHeight="1" x14ac:dyDescent="0.25">
      <c r="A103" s="136">
        <v>1</v>
      </c>
      <c r="B103" s="137" t="s">
        <v>123</v>
      </c>
      <c r="C103" s="130" t="s">
        <v>34</v>
      </c>
      <c r="D103" s="130"/>
      <c r="E103" s="130"/>
      <c r="F103" s="130"/>
      <c r="G103" s="130"/>
      <c r="H103" s="130"/>
      <c r="I103" s="130"/>
      <c r="J103" s="130"/>
      <c r="K103" s="130"/>
      <c r="L103" s="135"/>
      <c r="M103" s="14" t="s">
        <v>41</v>
      </c>
      <c r="N103" s="120">
        <v>19587</v>
      </c>
      <c r="O103" s="8"/>
      <c r="P103" s="2"/>
      <c r="Q103" s="107" t="s">
        <v>117</v>
      </c>
    </row>
    <row r="104" spans="1:17" ht="28.5" customHeight="1" x14ac:dyDescent="0.25">
      <c r="A104" s="136"/>
      <c r="B104" s="137"/>
      <c r="C104" s="130"/>
      <c r="D104" s="130"/>
      <c r="E104" s="130"/>
      <c r="F104" s="130"/>
      <c r="G104" s="130"/>
      <c r="H104" s="130"/>
      <c r="I104" s="130"/>
      <c r="J104" s="130"/>
      <c r="K104" s="130"/>
      <c r="L104" s="135"/>
      <c r="M104" s="14" t="s">
        <v>35</v>
      </c>
      <c r="N104" s="8">
        <v>351</v>
      </c>
      <c r="O104" s="8">
        <v>1979</v>
      </c>
      <c r="P104" s="2">
        <v>14</v>
      </c>
      <c r="Q104" s="107">
        <v>98</v>
      </c>
    </row>
    <row r="105" spans="1:17" x14ac:dyDescent="0.25">
      <c r="A105" s="136">
        <v>1</v>
      </c>
      <c r="B105" s="137" t="s">
        <v>124</v>
      </c>
      <c r="C105" s="130"/>
      <c r="D105" s="130"/>
      <c r="E105" s="130"/>
      <c r="F105" s="130" t="s">
        <v>34</v>
      </c>
      <c r="G105" s="130"/>
      <c r="H105" s="130"/>
      <c r="I105" s="130"/>
      <c r="J105" s="130"/>
      <c r="K105" s="130"/>
      <c r="L105" s="135"/>
      <c r="M105" s="14" t="s">
        <v>41</v>
      </c>
      <c r="N105" s="120">
        <v>19587</v>
      </c>
      <c r="O105" s="8"/>
      <c r="P105" s="2"/>
      <c r="Q105" s="107" t="s">
        <v>117</v>
      </c>
    </row>
    <row r="106" spans="1:17" ht="45.75" customHeight="1" x14ac:dyDescent="0.25">
      <c r="A106" s="136"/>
      <c r="B106" s="137"/>
      <c r="C106" s="130"/>
      <c r="D106" s="130"/>
      <c r="E106" s="130"/>
      <c r="F106" s="130"/>
      <c r="G106" s="130"/>
      <c r="H106" s="130"/>
      <c r="I106" s="130"/>
      <c r="J106" s="130"/>
      <c r="K106" s="130"/>
      <c r="L106" s="135"/>
      <c r="M106" s="14" t="s">
        <v>35</v>
      </c>
      <c r="N106" s="8">
        <v>351</v>
      </c>
      <c r="O106" s="8">
        <v>1979</v>
      </c>
      <c r="P106" s="2">
        <v>14</v>
      </c>
      <c r="Q106" s="107">
        <v>97</v>
      </c>
    </row>
    <row r="107" spans="1:17" x14ac:dyDescent="0.25">
      <c r="A107" s="136">
        <v>1</v>
      </c>
      <c r="B107" s="137" t="s">
        <v>125</v>
      </c>
      <c r="C107" s="130"/>
      <c r="D107" s="130"/>
      <c r="E107" s="130"/>
      <c r="F107" s="130" t="s">
        <v>34</v>
      </c>
      <c r="G107" s="130"/>
      <c r="H107" s="130"/>
      <c r="I107" s="130"/>
      <c r="J107" s="130"/>
      <c r="K107" s="130"/>
      <c r="L107" s="135"/>
      <c r="M107" s="14" t="s">
        <v>41</v>
      </c>
      <c r="N107" s="120">
        <v>19587</v>
      </c>
      <c r="O107" s="8"/>
      <c r="P107" s="2"/>
      <c r="Q107" s="107" t="s">
        <v>117</v>
      </c>
    </row>
    <row r="108" spans="1:17" ht="36" customHeight="1" x14ac:dyDescent="0.25">
      <c r="A108" s="136"/>
      <c r="B108" s="137"/>
      <c r="C108" s="130"/>
      <c r="D108" s="130"/>
      <c r="E108" s="130"/>
      <c r="F108" s="130"/>
      <c r="G108" s="130"/>
      <c r="H108" s="130"/>
      <c r="I108" s="130"/>
      <c r="J108" s="130"/>
      <c r="K108" s="130"/>
      <c r="L108" s="135"/>
      <c r="M108" s="14" t="s">
        <v>35</v>
      </c>
      <c r="N108" s="8">
        <v>351</v>
      </c>
      <c r="O108" s="8">
        <v>1979</v>
      </c>
      <c r="P108" s="2">
        <v>14</v>
      </c>
      <c r="Q108" s="107">
        <v>99</v>
      </c>
    </row>
    <row r="109" spans="1:17" ht="20.25" customHeight="1" x14ac:dyDescent="0.25">
      <c r="A109" s="136">
        <v>1</v>
      </c>
      <c r="B109" s="137" t="s">
        <v>126</v>
      </c>
      <c r="C109" s="130"/>
      <c r="D109" s="130" t="s">
        <v>34</v>
      </c>
      <c r="E109" s="130"/>
      <c r="F109" s="130"/>
      <c r="G109" s="130" t="s">
        <v>127</v>
      </c>
      <c r="H109" s="130"/>
      <c r="I109" s="130"/>
      <c r="J109" s="130"/>
      <c r="K109" s="130"/>
      <c r="L109" s="135"/>
      <c r="M109" s="14" t="s">
        <v>41</v>
      </c>
      <c r="N109" s="120">
        <v>19587</v>
      </c>
      <c r="O109" s="8"/>
      <c r="P109" s="2"/>
      <c r="Q109" s="107" t="s">
        <v>128</v>
      </c>
    </row>
    <row r="110" spans="1:17" ht="66" x14ac:dyDescent="0.25">
      <c r="A110" s="136"/>
      <c r="B110" s="137"/>
      <c r="C110" s="130"/>
      <c r="D110" s="130"/>
      <c r="E110" s="130"/>
      <c r="F110" s="130"/>
      <c r="G110" s="130"/>
      <c r="H110" s="130"/>
      <c r="I110" s="130"/>
      <c r="J110" s="130"/>
      <c r="K110" s="130"/>
      <c r="L110" s="135"/>
      <c r="M110" s="14" t="s">
        <v>35</v>
      </c>
      <c r="N110" s="8">
        <v>351</v>
      </c>
      <c r="O110" s="8">
        <v>1979</v>
      </c>
      <c r="P110" s="2">
        <v>14</v>
      </c>
      <c r="Q110" s="107" t="s">
        <v>129</v>
      </c>
    </row>
    <row r="111" spans="1:17" x14ac:dyDescent="0.25">
      <c r="A111" s="136">
        <v>1</v>
      </c>
      <c r="B111" s="137" t="s">
        <v>130</v>
      </c>
      <c r="C111" s="130"/>
      <c r="D111" s="130"/>
      <c r="E111" s="130"/>
      <c r="F111" s="130" t="s">
        <v>34</v>
      </c>
      <c r="G111" s="130"/>
      <c r="H111" s="130"/>
      <c r="I111" s="130"/>
      <c r="J111" s="130"/>
      <c r="K111" s="130"/>
      <c r="L111" s="135"/>
      <c r="M111" s="14" t="s">
        <v>41</v>
      </c>
      <c r="N111" s="120">
        <v>19587</v>
      </c>
      <c r="O111" s="8"/>
      <c r="P111" s="2"/>
      <c r="Q111" s="107" t="s">
        <v>128</v>
      </c>
    </row>
    <row r="112" spans="1:17" ht="66" x14ac:dyDescent="0.25">
      <c r="A112" s="136"/>
      <c r="B112" s="137"/>
      <c r="C112" s="130"/>
      <c r="D112" s="130"/>
      <c r="E112" s="130"/>
      <c r="F112" s="130"/>
      <c r="G112" s="130"/>
      <c r="H112" s="130"/>
      <c r="I112" s="130"/>
      <c r="J112" s="130"/>
      <c r="K112" s="130"/>
      <c r="L112" s="135"/>
      <c r="M112" s="14" t="s">
        <v>35</v>
      </c>
      <c r="N112" s="8">
        <v>351</v>
      </c>
      <c r="O112" s="8">
        <v>1979</v>
      </c>
      <c r="P112" s="2">
        <v>14</v>
      </c>
      <c r="Q112" s="107" t="s">
        <v>131</v>
      </c>
    </row>
    <row r="113" spans="1:18" x14ac:dyDescent="0.25">
      <c r="A113" s="136">
        <v>1</v>
      </c>
      <c r="B113" s="137" t="s">
        <v>132</v>
      </c>
      <c r="C113" s="130"/>
      <c r="D113" s="130"/>
      <c r="E113" s="130"/>
      <c r="F113" s="130" t="s">
        <v>34</v>
      </c>
      <c r="G113" s="130"/>
      <c r="H113" s="130"/>
      <c r="I113" s="130"/>
      <c r="J113" s="130"/>
      <c r="K113" s="130"/>
      <c r="L113" s="135"/>
      <c r="M113" s="14" t="s">
        <v>41</v>
      </c>
      <c r="N113" s="120">
        <v>19587</v>
      </c>
      <c r="O113" s="8"/>
      <c r="P113" s="2"/>
      <c r="Q113" s="107" t="s">
        <v>128</v>
      </c>
    </row>
    <row r="114" spans="1:18" x14ac:dyDescent="0.25">
      <c r="A114" s="136"/>
      <c r="B114" s="137"/>
      <c r="C114" s="130"/>
      <c r="D114" s="130"/>
      <c r="E114" s="130"/>
      <c r="F114" s="130"/>
      <c r="G114" s="130"/>
      <c r="H114" s="130"/>
      <c r="I114" s="130"/>
      <c r="J114" s="130"/>
      <c r="K114" s="130"/>
      <c r="L114" s="135"/>
      <c r="M114" s="14" t="s">
        <v>35</v>
      </c>
      <c r="N114" s="8">
        <v>351</v>
      </c>
      <c r="O114" s="8">
        <v>1979</v>
      </c>
      <c r="P114" s="2">
        <v>14</v>
      </c>
      <c r="Q114" s="107">
        <v>102</v>
      </c>
    </row>
    <row r="115" spans="1:18" x14ac:dyDescent="0.25">
      <c r="A115" s="136">
        <v>1</v>
      </c>
      <c r="B115" s="137" t="s">
        <v>133</v>
      </c>
      <c r="C115" s="130"/>
      <c r="D115" s="130" t="s">
        <v>34</v>
      </c>
      <c r="E115" s="130"/>
      <c r="F115" s="130"/>
      <c r="G115" s="130" t="s">
        <v>127</v>
      </c>
      <c r="H115" s="130"/>
      <c r="I115" s="130"/>
      <c r="J115" s="130"/>
      <c r="K115" s="130"/>
      <c r="L115" s="135"/>
      <c r="M115" s="14" t="s">
        <v>41</v>
      </c>
      <c r="N115" s="120">
        <v>19587</v>
      </c>
      <c r="O115" s="8"/>
      <c r="P115" s="2"/>
      <c r="Q115" s="107" t="s">
        <v>128</v>
      </c>
    </row>
    <row r="116" spans="1:18" ht="33.75" customHeight="1" x14ac:dyDescent="0.25">
      <c r="A116" s="136"/>
      <c r="B116" s="140"/>
      <c r="C116" s="133"/>
      <c r="D116" s="133"/>
      <c r="E116" s="133"/>
      <c r="F116" s="133"/>
      <c r="G116" s="133"/>
      <c r="H116" s="133"/>
      <c r="I116" s="133"/>
      <c r="J116" s="133"/>
      <c r="K116" s="133"/>
      <c r="L116" s="165"/>
      <c r="M116" s="19" t="s">
        <v>35</v>
      </c>
      <c r="N116" s="7">
        <v>351</v>
      </c>
      <c r="O116" s="7">
        <v>1979</v>
      </c>
      <c r="P116" s="98">
        <v>14</v>
      </c>
      <c r="Q116" s="108" t="s">
        <v>134</v>
      </c>
    </row>
    <row r="117" spans="1:18" ht="20.25" customHeight="1" x14ac:dyDescent="0.25">
      <c r="A117" s="104"/>
      <c r="B117" s="10"/>
      <c r="C117" s="83">
        <f>+IF(C95="X",+C94,0)+IF(C97="X",+C94,0)+IF(C99="X",+C94,0)+IF(C101="X",+C94,0)+IF(C103="X",+C94,0)+IF(C105="X",+C94,0)+IF(C107="X",+C94,0)+IF(C109="X",+C94,0)+IF(C111="X",+C94,0)+IF(C113="X",+C94,0)+IF(C115="X",+C94,0)</f>
        <v>9</v>
      </c>
      <c r="D117" s="83">
        <f>+IF(D95="X",+D94,0)+IF(D97="X",+D94,0)+IF(D99="X",+D94,0)+IF(D101="X",+D94,0)+IF(D103="X",+D94,0)+IF(D105="X",+D94,0)+IF(D107="X",+D94,0)+IF(D109="X",+D94,0)+IF(D111="X",+D94,0)+IF(D113="X",+D94,0)+IF(D115="X",+D94,0)</f>
        <v>4</v>
      </c>
      <c r="E117" s="83">
        <f>+IF(E95="X",+E94,0)+IF(E97="X",+E94,0)+IF(E99="X",+E94,0)+IF(E101="X",+E94,0)+IF(E103="X",+E94,0)+IF(E105="X",+E94,0)+IF(E107="X",+E94,0)+IF(E109="X",+E94,0)+IF(E111="X",+E94,0)+IF(E113="X",+E94,0)+IF(E115="X",+E94,0)</f>
        <v>0</v>
      </c>
      <c r="F117" s="83">
        <f>+IF(F95="X",+F94,0)+IF(F97="X",+F94,0)+IF(F99="X",+F94,0)+IF(F101="X",+F94,0)+IF(F103="X",+F94,0)+IF(F105="X",+F94,0)+IF(F107="X",+F94,0)+IF(F109="X",+F94,0)+IF(F111="X",+F94,0)+IF(F113="X",+F94,0)+IF(F115="X",+F94,0)</f>
        <v>4</v>
      </c>
      <c r="G117" s="84">
        <f>SUM(C117:E117)</f>
        <v>13</v>
      </c>
      <c r="I117" s="1"/>
      <c r="J117" s="1"/>
      <c r="K117" s="1"/>
      <c r="M117" s="10"/>
      <c r="N117" s="27"/>
      <c r="O117" s="27"/>
      <c r="P117" s="27"/>
      <c r="Q117" s="27"/>
    </row>
    <row r="118" spans="1:18" ht="20.25" customHeight="1" x14ac:dyDescent="0.25">
      <c r="A118" s="102">
        <f>SUM(A119:A132)</f>
        <v>7</v>
      </c>
      <c r="B118" s="18" t="s">
        <v>135</v>
      </c>
      <c r="C118" s="83">
        <v>2</v>
      </c>
      <c r="D118" s="83">
        <v>1</v>
      </c>
      <c r="E118" s="83">
        <v>-2</v>
      </c>
      <c r="F118" s="83">
        <v>1</v>
      </c>
      <c r="G118" s="84">
        <f>+C118*A118-F133*C118</f>
        <v>0</v>
      </c>
      <c r="I118" s="1"/>
      <c r="J118" s="1"/>
      <c r="K118" s="1"/>
      <c r="M118" s="10"/>
      <c r="N118" s="27"/>
      <c r="O118" s="27"/>
      <c r="P118" s="27"/>
      <c r="Q118" s="27"/>
      <c r="R118" s="94">
        <f>+(A118-G133)/$A$11</f>
        <v>6.7307692307692304E-2</v>
      </c>
    </row>
    <row r="119" spans="1:18" x14ac:dyDescent="0.25">
      <c r="A119" s="136">
        <v>1</v>
      </c>
      <c r="B119" s="138" t="s">
        <v>136</v>
      </c>
      <c r="C119" s="134"/>
      <c r="D119" s="134"/>
      <c r="E119" s="134"/>
      <c r="F119" s="134" t="s">
        <v>34</v>
      </c>
      <c r="G119" s="134"/>
      <c r="H119" s="134"/>
      <c r="I119" s="134"/>
      <c r="J119" s="134"/>
      <c r="K119" s="134"/>
      <c r="L119" s="189"/>
      <c r="M119" s="59" t="s">
        <v>41</v>
      </c>
      <c r="N119" s="121">
        <v>19587</v>
      </c>
      <c r="O119" s="15"/>
      <c r="P119" s="3"/>
      <c r="Q119" s="105" t="s">
        <v>137</v>
      </c>
    </row>
    <row r="120" spans="1:18" ht="20.25" customHeight="1" x14ac:dyDescent="0.25">
      <c r="A120" s="136"/>
      <c r="B120" s="139"/>
      <c r="C120" s="130"/>
      <c r="D120" s="130"/>
      <c r="E120" s="130"/>
      <c r="F120" s="130"/>
      <c r="G120" s="130"/>
      <c r="H120" s="130"/>
      <c r="I120" s="130"/>
      <c r="J120" s="130"/>
      <c r="K120" s="130"/>
      <c r="L120" s="135"/>
      <c r="M120" s="14" t="s">
        <v>35</v>
      </c>
      <c r="N120" s="8">
        <v>351</v>
      </c>
      <c r="O120" s="8">
        <v>1979</v>
      </c>
      <c r="P120" s="2">
        <v>16</v>
      </c>
      <c r="Q120" s="106">
        <v>140</v>
      </c>
    </row>
    <row r="121" spans="1:18" x14ac:dyDescent="0.25">
      <c r="A121" s="136">
        <v>1</v>
      </c>
      <c r="B121" s="139" t="s">
        <v>138</v>
      </c>
      <c r="C121" s="130"/>
      <c r="D121" s="130"/>
      <c r="E121" s="130"/>
      <c r="F121" s="130" t="s">
        <v>34</v>
      </c>
      <c r="G121" s="130"/>
      <c r="H121" s="130"/>
      <c r="I121" s="130"/>
      <c r="J121" s="130"/>
      <c r="K121" s="130"/>
      <c r="L121" s="135"/>
      <c r="M121" s="14" t="s">
        <v>41</v>
      </c>
      <c r="N121" s="120">
        <v>19587</v>
      </c>
      <c r="O121" s="8"/>
      <c r="P121" s="2"/>
      <c r="Q121" s="106" t="s">
        <v>63</v>
      </c>
    </row>
    <row r="122" spans="1:18" ht="27.75" customHeight="1" x14ac:dyDescent="0.25">
      <c r="A122" s="136"/>
      <c r="B122" s="139"/>
      <c r="C122" s="130"/>
      <c r="D122" s="130"/>
      <c r="E122" s="130"/>
      <c r="F122" s="130"/>
      <c r="G122" s="130"/>
      <c r="H122" s="130"/>
      <c r="I122" s="130"/>
      <c r="J122" s="130"/>
      <c r="K122" s="130"/>
      <c r="L122" s="135"/>
      <c r="M122" s="14" t="s">
        <v>35</v>
      </c>
      <c r="N122" s="8">
        <v>351</v>
      </c>
      <c r="O122" s="8">
        <v>1979</v>
      </c>
      <c r="P122" s="2">
        <v>16</v>
      </c>
      <c r="Q122" s="107">
        <v>138</v>
      </c>
    </row>
    <row r="123" spans="1:18" x14ac:dyDescent="0.25">
      <c r="A123" s="136">
        <v>1</v>
      </c>
      <c r="B123" s="139" t="s">
        <v>139</v>
      </c>
      <c r="C123" s="130"/>
      <c r="D123" s="130"/>
      <c r="E123" s="130"/>
      <c r="F123" s="130" t="s">
        <v>34</v>
      </c>
      <c r="G123" s="130"/>
      <c r="H123" s="130"/>
      <c r="I123" s="130"/>
      <c r="J123" s="130"/>
      <c r="K123" s="130"/>
      <c r="L123" s="135"/>
      <c r="M123" s="14" t="s">
        <v>41</v>
      </c>
      <c r="N123" s="120">
        <v>19587</v>
      </c>
      <c r="O123" s="8"/>
      <c r="P123" s="2"/>
      <c r="Q123" s="106" t="s">
        <v>128</v>
      </c>
    </row>
    <row r="124" spans="1:18" x14ac:dyDescent="0.25">
      <c r="A124" s="136"/>
      <c r="B124" s="139"/>
      <c r="C124" s="130"/>
      <c r="D124" s="130"/>
      <c r="E124" s="130"/>
      <c r="F124" s="130"/>
      <c r="G124" s="130"/>
      <c r="H124" s="130"/>
      <c r="I124" s="130"/>
      <c r="J124" s="130"/>
      <c r="K124" s="130"/>
      <c r="L124" s="135"/>
      <c r="M124" s="14" t="s">
        <v>35</v>
      </c>
      <c r="N124" s="8">
        <v>351</v>
      </c>
      <c r="O124" s="8">
        <v>1979</v>
      </c>
      <c r="P124" s="2">
        <v>16</v>
      </c>
      <c r="Q124" s="107">
        <v>139</v>
      </c>
    </row>
    <row r="125" spans="1:18" x14ac:dyDescent="0.25">
      <c r="A125" s="136">
        <v>1</v>
      </c>
      <c r="B125" s="139" t="s">
        <v>140</v>
      </c>
      <c r="C125" s="130"/>
      <c r="D125" s="130"/>
      <c r="E125" s="130"/>
      <c r="F125" s="130" t="s">
        <v>34</v>
      </c>
      <c r="G125" s="130"/>
      <c r="H125" s="130"/>
      <c r="I125" s="130"/>
      <c r="J125" s="130"/>
      <c r="K125" s="130"/>
      <c r="L125" s="135"/>
      <c r="M125" s="14" t="s">
        <v>41</v>
      </c>
      <c r="N125" s="120">
        <v>19587</v>
      </c>
      <c r="O125" s="8"/>
      <c r="P125" s="2"/>
      <c r="Q125" s="106" t="s">
        <v>137</v>
      </c>
    </row>
    <row r="126" spans="1:18" x14ac:dyDescent="0.25">
      <c r="A126" s="136"/>
      <c r="B126" s="139"/>
      <c r="C126" s="130"/>
      <c r="D126" s="130"/>
      <c r="E126" s="130"/>
      <c r="F126" s="130"/>
      <c r="G126" s="130"/>
      <c r="H126" s="130"/>
      <c r="I126" s="130"/>
      <c r="J126" s="130"/>
      <c r="K126" s="130"/>
      <c r="L126" s="135"/>
      <c r="M126" s="14" t="s">
        <v>35</v>
      </c>
      <c r="N126" s="8">
        <v>351</v>
      </c>
      <c r="O126" s="8">
        <v>1979</v>
      </c>
      <c r="P126" s="2">
        <v>16</v>
      </c>
      <c r="Q126" s="107">
        <v>142</v>
      </c>
    </row>
    <row r="127" spans="1:18" x14ac:dyDescent="0.25">
      <c r="A127" s="136">
        <v>1</v>
      </c>
      <c r="B127" s="139" t="s">
        <v>141</v>
      </c>
      <c r="C127" s="130"/>
      <c r="D127" s="130"/>
      <c r="E127" s="130"/>
      <c r="F127" s="130" t="s">
        <v>34</v>
      </c>
      <c r="G127" s="130"/>
      <c r="H127" s="130"/>
      <c r="I127" s="130"/>
      <c r="J127" s="130"/>
      <c r="K127" s="130"/>
      <c r="L127" s="135"/>
      <c r="M127" s="14" t="s">
        <v>41</v>
      </c>
      <c r="N127" s="120">
        <v>19587</v>
      </c>
      <c r="O127" s="8"/>
      <c r="P127" s="2"/>
      <c r="Q127" s="106" t="s">
        <v>137</v>
      </c>
    </row>
    <row r="128" spans="1:18" ht="26.4" x14ac:dyDescent="0.25">
      <c r="A128" s="136"/>
      <c r="B128" s="139"/>
      <c r="C128" s="130"/>
      <c r="D128" s="130"/>
      <c r="E128" s="130"/>
      <c r="F128" s="130"/>
      <c r="G128" s="130"/>
      <c r="H128" s="130"/>
      <c r="I128" s="130"/>
      <c r="J128" s="130"/>
      <c r="K128" s="130"/>
      <c r="L128" s="135"/>
      <c r="M128" s="14" t="s">
        <v>35</v>
      </c>
      <c r="N128" s="8">
        <v>351</v>
      </c>
      <c r="O128" s="8">
        <v>1979</v>
      </c>
      <c r="P128" s="2">
        <v>16</v>
      </c>
      <c r="Q128" s="107" t="s">
        <v>142</v>
      </c>
    </row>
    <row r="129" spans="1:18" x14ac:dyDescent="0.25">
      <c r="A129" s="136">
        <v>1</v>
      </c>
      <c r="B129" s="139" t="s">
        <v>143</v>
      </c>
      <c r="C129" s="130"/>
      <c r="D129" s="130"/>
      <c r="E129" s="130"/>
      <c r="F129" s="130" t="s">
        <v>34</v>
      </c>
      <c r="G129" s="130"/>
      <c r="H129" s="130"/>
      <c r="I129" s="130"/>
      <c r="J129" s="130"/>
      <c r="K129" s="130"/>
      <c r="L129" s="135"/>
      <c r="M129" s="14" t="s">
        <v>41</v>
      </c>
      <c r="N129" s="120">
        <v>19587</v>
      </c>
      <c r="O129" s="8"/>
      <c r="P129" s="2"/>
      <c r="Q129" s="107" t="s">
        <v>87</v>
      </c>
    </row>
    <row r="130" spans="1:18" x14ac:dyDescent="0.25">
      <c r="A130" s="136"/>
      <c r="B130" s="139"/>
      <c r="C130" s="130"/>
      <c r="D130" s="130"/>
      <c r="E130" s="130"/>
      <c r="F130" s="130"/>
      <c r="G130" s="130"/>
      <c r="H130" s="130"/>
      <c r="I130" s="130"/>
      <c r="J130" s="130"/>
      <c r="K130" s="130"/>
      <c r="L130" s="135"/>
      <c r="M130" s="14" t="s">
        <v>35</v>
      </c>
      <c r="N130" s="8">
        <v>351</v>
      </c>
      <c r="O130" s="8">
        <v>1979</v>
      </c>
      <c r="P130" s="2">
        <v>16</v>
      </c>
      <c r="Q130" s="107">
        <v>138</v>
      </c>
    </row>
    <row r="131" spans="1:18" ht="18.75" customHeight="1" x14ac:dyDescent="0.25">
      <c r="A131" s="136">
        <v>1</v>
      </c>
      <c r="B131" s="139" t="s">
        <v>144</v>
      </c>
      <c r="C131" s="130"/>
      <c r="D131" s="130"/>
      <c r="E131" s="130"/>
      <c r="F131" s="130" t="s">
        <v>34</v>
      </c>
      <c r="G131" s="130"/>
      <c r="H131" s="130"/>
      <c r="I131" s="130"/>
      <c r="J131" s="130"/>
      <c r="K131" s="130"/>
      <c r="L131" s="135"/>
      <c r="M131" s="14" t="s">
        <v>41</v>
      </c>
      <c r="N131" s="120">
        <v>19587</v>
      </c>
      <c r="O131" s="8"/>
      <c r="P131" s="2"/>
      <c r="Q131" s="106" t="s">
        <v>128</v>
      </c>
    </row>
    <row r="132" spans="1:18" ht="24" customHeight="1" x14ac:dyDescent="0.25">
      <c r="A132" s="136"/>
      <c r="B132" s="141"/>
      <c r="C132" s="133"/>
      <c r="D132" s="133"/>
      <c r="E132" s="133"/>
      <c r="F132" s="133"/>
      <c r="G132" s="133"/>
      <c r="H132" s="133"/>
      <c r="I132" s="133"/>
      <c r="J132" s="133"/>
      <c r="K132" s="133"/>
      <c r="L132" s="165"/>
      <c r="M132" s="19" t="s">
        <v>35</v>
      </c>
      <c r="N132" s="7">
        <v>351</v>
      </c>
      <c r="O132" s="7">
        <v>1979</v>
      </c>
      <c r="P132" s="98">
        <v>16</v>
      </c>
      <c r="Q132" s="108">
        <v>144</v>
      </c>
    </row>
    <row r="133" spans="1:18" ht="20.25" customHeight="1" x14ac:dyDescent="0.25">
      <c r="A133" s="104"/>
      <c r="B133" s="10"/>
      <c r="C133" s="83">
        <f>+IF(C119="X",+C118,0)+IF(C121="X",+C118,0)+IF(C123="X",+C118,0)+IF(C125="X",+C118,0)+IF(C127="X",+C118,0)+IF(C129="X",+C118,0)+IF(C131="X",+C118,0)</f>
        <v>0</v>
      </c>
      <c r="D133" s="83">
        <f>+IF(D119="X",+D118,0)+IF(D121="X",+D118,0)+IF(D123="X",+D118,0)+IF(D125="X",+D118,0)+IF(D127="X",+D118,0)+IF(D129="X",+D118,0)+IF(D131="X",+D118,0)</f>
        <v>0</v>
      </c>
      <c r="E133" s="83">
        <f>+IF(E119="X",+E118,0)+IF(E121="X",+E118,0)+IF(E123="X",+E118,0)+IF(E125="X",+E118,0)+IF(E127="X",+E118,0)+IF(E129="X",+E118,0)+IF(E131="X",+E118,0)</f>
        <v>0</v>
      </c>
      <c r="F133" s="83">
        <f>+IF(F119="X",+F118,0)+IF(F121="X",+F118,0)+IF(F123="X",+F118,0)+IF(F125="X",+F118,0)+IF(F127="X",+F118,0)+IF(F129="X",+F118,0)+IF(F131="X",+F118,0)</f>
        <v>7</v>
      </c>
      <c r="G133" s="84">
        <f>SUM(C133:E133)</f>
        <v>0</v>
      </c>
      <c r="I133" s="1"/>
      <c r="J133" s="1"/>
      <c r="K133" s="1"/>
      <c r="M133" s="10"/>
      <c r="N133" s="27"/>
      <c r="O133" s="27"/>
      <c r="P133" s="27"/>
      <c r="Q133" s="27"/>
    </row>
    <row r="134" spans="1:18" ht="20.25" customHeight="1" x14ac:dyDescent="0.25">
      <c r="A134" s="102">
        <f>SUM(A135:A139)</f>
        <v>3</v>
      </c>
      <c r="B134" s="28" t="s">
        <v>145</v>
      </c>
      <c r="C134" s="83">
        <v>3</v>
      </c>
      <c r="D134" s="83">
        <v>1</v>
      </c>
      <c r="E134" s="83">
        <v>-3</v>
      </c>
      <c r="F134" s="83">
        <v>1</v>
      </c>
      <c r="G134" s="84">
        <f>+C134*A134-F140*C134</f>
        <v>9</v>
      </c>
      <c r="I134" s="1"/>
      <c r="J134" s="1"/>
      <c r="K134" s="1"/>
      <c r="M134" s="10"/>
      <c r="N134" s="27"/>
      <c r="O134" s="27"/>
      <c r="P134" s="27"/>
      <c r="Q134" s="27"/>
      <c r="R134" s="94">
        <f>+(A134-G140)/$A$11</f>
        <v>-3.8461538461538464E-2</v>
      </c>
    </row>
    <row r="135" spans="1:18" ht="44.25" customHeight="1" x14ac:dyDescent="0.25">
      <c r="A135" s="136">
        <v>1</v>
      </c>
      <c r="B135" s="138" t="s">
        <v>146</v>
      </c>
      <c r="C135" s="134"/>
      <c r="D135" s="134" t="s">
        <v>34</v>
      </c>
      <c r="E135" s="134"/>
      <c r="F135" s="134"/>
      <c r="G135" s="134" t="s">
        <v>147</v>
      </c>
      <c r="H135" s="134"/>
      <c r="I135" s="134"/>
      <c r="J135" s="134"/>
      <c r="K135" s="134"/>
      <c r="L135" s="189"/>
      <c r="M135" s="59" t="s">
        <v>41</v>
      </c>
      <c r="N135" s="121">
        <v>19587</v>
      </c>
      <c r="O135" s="15"/>
      <c r="P135" s="3"/>
      <c r="Q135" s="105" t="s">
        <v>148</v>
      </c>
    </row>
    <row r="136" spans="1:18" ht="26.4" x14ac:dyDescent="0.25">
      <c r="A136" s="136"/>
      <c r="B136" s="139"/>
      <c r="C136" s="130"/>
      <c r="D136" s="130"/>
      <c r="E136" s="130"/>
      <c r="F136" s="130"/>
      <c r="G136" s="130"/>
      <c r="H136" s="130"/>
      <c r="I136" s="130"/>
      <c r="J136" s="130"/>
      <c r="K136" s="130"/>
      <c r="L136" s="135"/>
      <c r="M136" s="14" t="s">
        <v>35</v>
      </c>
      <c r="N136" s="8">
        <v>351</v>
      </c>
      <c r="O136" s="8">
        <v>1979</v>
      </c>
      <c r="P136" s="2">
        <v>19</v>
      </c>
      <c r="Q136" s="106" t="s">
        <v>149</v>
      </c>
    </row>
    <row r="137" spans="1:18" x14ac:dyDescent="0.25">
      <c r="A137" s="136">
        <v>1</v>
      </c>
      <c r="B137" s="139" t="s">
        <v>150</v>
      </c>
      <c r="C137" s="130" t="s">
        <v>34</v>
      </c>
      <c r="D137" s="130"/>
      <c r="E137" s="130"/>
      <c r="F137" s="130"/>
      <c r="G137" s="130"/>
      <c r="H137" s="130"/>
      <c r="I137" s="130"/>
      <c r="J137" s="130"/>
      <c r="K137" s="130"/>
      <c r="L137" s="135"/>
      <c r="M137" s="14" t="s">
        <v>41</v>
      </c>
      <c r="N137" s="120">
        <v>19587</v>
      </c>
      <c r="O137" s="8"/>
      <c r="P137" s="2"/>
      <c r="Q137" s="106" t="s">
        <v>63</v>
      </c>
    </row>
    <row r="138" spans="1:18" ht="21.75" customHeight="1" x14ac:dyDescent="0.25">
      <c r="A138" s="136"/>
      <c r="B138" s="139"/>
      <c r="C138" s="130"/>
      <c r="D138" s="130"/>
      <c r="E138" s="130"/>
      <c r="F138" s="130"/>
      <c r="G138" s="130"/>
      <c r="H138" s="130"/>
      <c r="I138" s="130"/>
      <c r="J138" s="130"/>
      <c r="K138" s="130"/>
      <c r="L138" s="135"/>
      <c r="M138" s="14" t="s">
        <v>35</v>
      </c>
      <c r="N138" s="8">
        <v>351</v>
      </c>
      <c r="O138" s="8">
        <v>1979</v>
      </c>
      <c r="P138" s="9">
        <v>12</v>
      </c>
      <c r="Q138" s="107">
        <v>84</v>
      </c>
    </row>
    <row r="139" spans="1:18" ht="26.4" x14ac:dyDescent="0.25">
      <c r="A139" s="101">
        <v>1</v>
      </c>
      <c r="B139" s="37" t="s">
        <v>151</v>
      </c>
      <c r="C139" s="6" t="s">
        <v>34</v>
      </c>
      <c r="D139" s="6"/>
      <c r="E139" s="6"/>
      <c r="F139" s="6"/>
      <c r="G139" s="217"/>
      <c r="H139" s="234"/>
      <c r="I139" s="234"/>
      <c r="J139" s="234"/>
      <c r="K139" s="234"/>
      <c r="L139" s="235"/>
      <c r="M139" s="19" t="s">
        <v>35</v>
      </c>
      <c r="N139" s="7">
        <v>170</v>
      </c>
      <c r="O139" s="7">
        <v>1996</v>
      </c>
      <c r="P139" s="7"/>
      <c r="Q139" s="108">
        <v>28</v>
      </c>
    </row>
    <row r="140" spans="1:18" ht="20.25" customHeight="1" x14ac:dyDescent="0.25">
      <c r="A140" s="104"/>
      <c r="B140" s="10"/>
      <c r="C140" s="83">
        <f>+IF(C135="X",+C134,0)+IF(C137="X",+C134,0)+IF(C139="X",+C134,0)</f>
        <v>6</v>
      </c>
      <c r="D140" s="83">
        <f>+IF(D135="X",+D134,0)+IF(D137="X",+D134,0)+IF(D139="X",+D134,0)</f>
        <v>1</v>
      </c>
      <c r="E140" s="83">
        <f>+IF(E135="X",+E134,0)+IF(E137="X",+E134,0)+IF(E139="X",+E134,0)</f>
        <v>0</v>
      </c>
      <c r="F140" s="83">
        <f>+IF(F135="X",+F134,0)+IF(F137="X",+F134,0)+IF(F139="X",+F134,0)</f>
        <v>0</v>
      </c>
      <c r="G140" s="84">
        <f>SUM(C140:E140)</f>
        <v>7</v>
      </c>
      <c r="I140" s="1"/>
      <c r="J140" s="1"/>
      <c r="K140" s="1"/>
      <c r="M140" s="10"/>
      <c r="N140" s="27"/>
      <c r="O140" s="27"/>
      <c r="P140" s="27"/>
      <c r="Q140" s="27"/>
    </row>
    <row r="141" spans="1:18" ht="20.25" customHeight="1" x14ac:dyDescent="0.25">
      <c r="A141" s="102">
        <f>SUM(A142:A154)</f>
        <v>7</v>
      </c>
      <c r="B141" s="18" t="s">
        <v>152</v>
      </c>
      <c r="C141" s="83">
        <v>2</v>
      </c>
      <c r="D141" s="83">
        <v>1</v>
      </c>
      <c r="E141" s="83">
        <v>-2</v>
      </c>
      <c r="F141" s="83">
        <v>1</v>
      </c>
      <c r="G141" s="82">
        <f>+C141*A141-F155*C141</f>
        <v>8</v>
      </c>
      <c r="I141" s="1"/>
      <c r="J141" s="1"/>
      <c r="K141" s="1"/>
      <c r="M141" s="10"/>
      <c r="N141" s="27"/>
      <c r="O141" s="27"/>
      <c r="P141" s="27"/>
      <c r="Q141" s="27"/>
      <c r="R141" s="94">
        <f>+(A141-G155)/$A$11</f>
        <v>-9.6153846153846159E-3</v>
      </c>
    </row>
    <row r="142" spans="1:18" ht="20.25" customHeight="1" x14ac:dyDescent="0.25">
      <c r="A142" s="136">
        <v>1</v>
      </c>
      <c r="B142" s="138" t="s">
        <v>153</v>
      </c>
      <c r="C142" s="134" t="s">
        <v>34</v>
      </c>
      <c r="D142" s="134"/>
      <c r="E142" s="134"/>
      <c r="F142" s="134"/>
      <c r="G142" s="134"/>
      <c r="H142" s="134"/>
      <c r="I142" s="134"/>
      <c r="J142" s="134"/>
      <c r="K142" s="134"/>
      <c r="L142" s="189"/>
      <c r="M142" s="59" t="s">
        <v>41</v>
      </c>
      <c r="N142" s="121">
        <v>19587</v>
      </c>
      <c r="O142" s="15"/>
      <c r="P142" s="3"/>
      <c r="Q142" s="105" t="s">
        <v>154</v>
      </c>
    </row>
    <row r="143" spans="1:18" x14ac:dyDescent="0.25">
      <c r="A143" s="136"/>
      <c r="B143" s="139"/>
      <c r="C143" s="130"/>
      <c r="D143" s="130"/>
      <c r="E143" s="130"/>
      <c r="F143" s="130"/>
      <c r="G143" s="130"/>
      <c r="H143" s="130"/>
      <c r="I143" s="130"/>
      <c r="J143" s="130"/>
      <c r="K143" s="130"/>
      <c r="L143" s="135"/>
      <c r="M143" s="14" t="s">
        <v>35</v>
      </c>
      <c r="N143" s="8">
        <v>351</v>
      </c>
      <c r="O143" s="8">
        <v>1979</v>
      </c>
      <c r="P143" s="2">
        <v>12</v>
      </c>
      <c r="Q143" s="106">
        <v>71</v>
      </c>
    </row>
    <row r="144" spans="1:18" ht="39.6" x14ac:dyDescent="0.25">
      <c r="A144" s="101">
        <v>1</v>
      </c>
      <c r="B144" s="36" t="s">
        <v>155</v>
      </c>
      <c r="C144" s="5"/>
      <c r="D144" s="5"/>
      <c r="E144" s="5"/>
      <c r="F144" s="5" t="s">
        <v>34</v>
      </c>
      <c r="G144" s="130"/>
      <c r="H144" s="130"/>
      <c r="I144" s="130"/>
      <c r="J144" s="130"/>
      <c r="K144" s="130"/>
      <c r="L144" s="135"/>
      <c r="M144" s="14" t="s">
        <v>35</v>
      </c>
      <c r="N144" s="8">
        <v>351</v>
      </c>
      <c r="O144" s="8">
        <v>1979</v>
      </c>
      <c r="P144" s="2">
        <v>12</v>
      </c>
      <c r="Q144" s="107">
        <v>76</v>
      </c>
    </row>
    <row r="145" spans="1:18" ht="26.4" x14ac:dyDescent="0.25">
      <c r="A145" s="136">
        <v>1</v>
      </c>
      <c r="B145" s="139" t="s">
        <v>156</v>
      </c>
      <c r="C145" s="130"/>
      <c r="D145" s="130"/>
      <c r="E145" s="130"/>
      <c r="F145" s="130" t="s">
        <v>34</v>
      </c>
      <c r="G145" s="130"/>
      <c r="H145" s="130"/>
      <c r="I145" s="130"/>
      <c r="J145" s="130"/>
      <c r="K145" s="130"/>
      <c r="L145" s="135"/>
      <c r="M145" s="14" t="s">
        <v>35</v>
      </c>
      <c r="N145" s="8">
        <v>351</v>
      </c>
      <c r="O145" s="8">
        <v>1979</v>
      </c>
      <c r="P145" s="2">
        <v>12</v>
      </c>
      <c r="Q145" s="107" t="s">
        <v>157</v>
      </c>
    </row>
    <row r="146" spans="1:18" ht="20.25" customHeight="1" x14ac:dyDescent="0.25">
      <c r="A146" s="136"/>
      <c r="B146" s="139"/>
      <c r="C146" s="130"/>
      <c r="D146" s="130"/>
      <c r="E146" s="130"/>
      <c r="F146" s="130"/>
      <c r="G146" s="130"/>
      <c r="H146" s="130"/>
      <c r="I146" s="130"/>
      <c r="J146" s="130"/>
      <c r="K146" s="130"/>
      <c r="L146" s="135"/>
      <c r="M146" s="14" t="s">
        <v>35</v>
      </c>
      <c r="N146" s="120">
        <v>1338</v>
      </c>
      <c r="O146" s="8">
        <v>1996</v>
      </c>
      <c r="P146" s="2"/>
      <c r="Q146" s="107">
        <v>10</v>
      </c>
    </row>
    <row r="147" spans="1:18" x14ac:dyDescent="0.25">
      <c r="A147" s="136">
        <v>1</v>
      </c>
      <c r="B147" s="139" t="s">
        <v>158</v>
      </c>
      <c r="C147" s="256" t="s">
        <v>34</v>
      </c>
      <c r="D147" s="130"/>
      <c r="E147" s="130"/>
      <c r="F147" s="130"/>
      <c r="G147" s="130"/>
      <c r="H147" s="130"/>
      <c r="I147" s="130"/>
      <c r="J147" s="130"/>
      <c r="K147" s="130"/>
      <c r="L147" s="135"/>
      <c r="M147" s="14" t="s">
        <v>41</v>
      </c>
      <c r="N147" s="120">
        <v>19587</v>
      </c>
      <c r="O147" s="8"/>
      <c r="P147" s="2"/>
      <c r="Q147" s="107" t="s">
        <v>154</v>
      </c>
    </row>
    <row r="148" spans="1:18" ht="20.25" customHeight="1" x14ac:dyDescent="0.25">
      <c r="A148" s="136"/>
      <c r="B148" s="139"/>
      <c r="C148" s="130"/>
      <c r="D148" s="130"/>
      <c r="E148" s="130"/>
      <c r="F148" s="130"/>
      <c r="G148" s="130"/>
      <c r="H148" s="130"/>
      <c r="I148" s="130"/>
      <c r="J148" s="130"/>
      <c r="K148" s="130"/>
      <c r="L148" s="135"/>
      <c r="M148" s="14" t="s">
        <v>35</v>
      </c>
      <c r="N148" s="8">
        <v>351</v>
      </c>
      <c r="O148" s="8">
        <v>1979</v>
      </c>
      <c r="P148" s="2">
        <v>12</v>
      </c>
      <c r="Q148" s="107" t="s">
        <v>157</v>
      </c>
    </row>
    <row r="149" spans="1:18" ht="20.25" customHeight="1" x14ac:dyDescent="0.25">
      <c r="A149" s="136">
        <v>1</v>
      </c>
      <c r="B149" s="139" t="s">
        <v>159</v>
      </c>
      <c r="C149" s="130" t="s">
        <v>34</v>
      </c>
      <c r="D149" s="130"/>
      <c r="E149" s="130"/>
      <c r="F149" s="130"/>
      <c r="G149" s="130"/>
      <c r="H149" s="130"/>
      <c r="I149" s="130"/>
      <c r="J149" s="130"/>
      <c r="K149" s="130"/>
      <c r="L149" s="135"/>
      <c r="M149" s="14" t="s">
        <v>41</v>
      </c>
      <c r="N149" s="120">
        <v>19587</v>
      </c>
      <c r="O149" s="8"/>
      <c r="P149" s="2"/>
      <c r="Q149" s="107" t="s">
        <v>160</v>
      </c>
    </row>
    <row r="150" spans="1:18" x14ac:dyDescent="0.25">
      <c r="A150" s="136"/>
      <c r="B150" s="139"/>
      <c r="C150" s="130"/>
      <c r="D150" s="130"/>
      <c r="E150" s="130"/>
      <c r="F150" s="130"/>
      <c r="G150" s="130"/>
      <c r="H150" s="130"/>
      <c r="I150" s="130"/>
      <c r="J150" s="130"/>
      <c r="K150" s="130"/>
      <c r="L150" s="135"/>
      <c r="M150" s="14" t="s">
        <v>35</v>
      </c>
      <c r="N150" s="8">
        <v>351</v>
      </c>
      <c r="O150" s="8">
        <v>1979</v>
      </c>
      <c r="P150" s="2">
        <v>12</v>
      </c>
      <c r="Q150" s="107">
        <v>79</v>
      </c>
    </row>
    <row r="151" spans="1:18" ht="20.25" customHeight="1" x14ac:dyDescent="0.25">
      <c r="A151" s="136">
        <v>1</v>
      </c>
      <c r="B151" s="139" t="s">
        <v>161</v>
      </c>
      <c r="C151" s="130" t="s">
        <v>34</v>
      </c>
      <c r="D151" s="130"/>
      <c r="E151" s="130"/>
      <c r="F151" s="130"/>
      <c r="G151" s="130"/>
      <c r="H151" s="130"/>
      <c r="I151" s="130"/>
      <c r="J151" s="130"/>
      <c r="K151" s="130"/>
      <c r="L151" s="135"/>
      <c r="M151" s="14" t="s">
        <v>41</v>
      </c>
      <c r="N151" s="120">
        <v>19587</v>
      </c>
      <c r="O151" s="8"/>
      <c r="P151" s="2"/>
      <c r="Q151" s="107" t="s">
        <v>63</v>
      </c>
    </row>
    <row r="152" spans="1:18" x14ac:dyDescent="0.25">
      <c r="A152" s="136"/>
      <c r="B152" s="13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5"/>
      <c r="M152" s="14" t="s">
        <v>35</v>
      </c>
      <c r="N152" s="8">
        <v>351</v>
      </c>
      <c r="O152" s="8">
        <v>1979</v>
      </c>
      <c r="P152" s="2">
        <v>12</v>
      </c>
      <c r="Q152" s="107">
        <v>80</v>
      </c>
    </row>
    <row r="153" spans="1:18" ht="26.4" x14ac:dyDescent="0.25">
      <c r="A153" s="136"/>
      <c r="B153" s="139"/>
      <c r="C153" s="130"/>
      <c r="D153" s="130"/>
      <c r="E153" s="130"/>
      <c r="F153" s="130"/>
      <c r="G153" s="130"/>
      <c r="H153" s="130"/>
      <c r="I153" s="130"/>
      <c r="J153" s="130"/>
      <c r="K153" s="130"/>
      <c r="L153" s="135"/>
      <c r="M153" s="14" t="s">
        <v>35</v>
      </c>
      <c r="N153" s="8">
        <v>351</v>
      </c>
      <c r="O153" s="8">
        <v>1979</v>
      </c>
      <c r="P153" s="2">
        <v>18</v>
      </c>
      <c r="Q153" s="111" t="s">
        <v>162</v>
      </c>
    </row>
    <row r="154" spans="1:18" ht="18.75" customHeight="1" x14ac:dyDescent="0.25">
      <c r="A154" s="101">
        <v>1</v>
      </c>
      <c r="B154" s="37" t="s">
        <v>163</v>
      </c>
      <c r="C154" s="6"/>
      <c r="D154" s="6"/>
      <c r="E154" s="6"/>
      <c r="F154" s="6" t="s">
        <v>34</v>
      </c>
      <c r="G154" s="133"/>
      <c r="H154" s="133"/>
      <c r="I154" s="133"/>
      <c r="J154" s="133"/>
      <c r="K154" s="133"/>
      <c r="L154" s="165"/>
      <c r="M154" s="19" t="s">
        <v>35</v>
      </c>
      <c r="N154" s="7">
        <v>351</v>
      </c>
      <c r="O154" s="7">
        <v>1979</v>
      </c>
      <c r="P154" s="98">
        <v>12</v>
      </c>
      <c r="Q154" s="108">
        <v>82</v>
      </c>
    </row>
    <row r="155" spans="1:18" ht="20.25" customHeight="1" x14ac:dyDescent="0.25">
      <c r="A155" s="104"/>
      <c r="B155" s="10"/>
      <c r="C155" s="83">
        <f>+IF(C142="X",+C141,0)+IF(C144="X",+C141,0)+IF(C145="X",+C141,0)+IF(C147="X",+C141,0)+IF(C149="X",+C141,0)+IF(C151="X",+C141,0)+IF(C154="X",+C141,0)</f>
        <v>8</v>
      </c>
      <c r="D155" s="83">
        <f>+IF(D142="X",+D141,0)+IF(D144="X",+D141,0)+IF(D145="X",+D141,0)+IF(D147="X",+D141,0)+IF(D149="X",+D141,0)+IF(D151="X",+D141,0)+IF(D154="X",+D141,0)</f>
        <v>0</v>
      </c>
      <c r="E155" s="83">
        <f>+IF(E142="X",+E141,0)+IF(E144="X",+E141,0)+IF(E145="X",+E141,0)+IF(E147="X",+E141,0)+IF(E149="X",+E141,0)+IF(E151="X",+E141,0)+IF(E154="X",+E141,0)</f>
        <v>0</v>
      </c>
      <c r="F155" s="83">
        <f>+IF(F142="X",+F141,0)+IF(F144="X",+F141,0)+IF(F145="X",+F141,0)+IF(F147="X",+F141,0)+IF(F149="X",+F141,0)+IF(F151="X",+F141,0)+IF(F154="X",+F141,0)</f>
        <v>3</v>
      </c>
      <c r="G155" s="84">
        <f>SUM(C155:E155)</f>
        <v>8</v>
      </c>
      <c r="I155" s="1"/>
      <c r="J155" s="1"/>
      <c r="K155" s="1"/>
      <c r="M155" s="10"/>
      <c r="N155" s="27"/>
      <c r="O155" s="27"/>
      <c r="P155" s="27"/>
      <c r="Q155" s="27"/>
    </row>
    <row r="156" spans="1:18" ht="20.25" customHeight="1" x14ac:dyDescent="0.25">
      <c r="A156" s="102">
        <f>SUM(A157:A163)</f>
        <v>3</v>
      </c>
      <c r="B156" s="29" t="s">
        <v>164</v>
      </c>
      <c r="C156" s="83">
        <v>2</v>
      </c>
      <c r="D156" s="83">
        <v>1</v>
      </c>
      <c r="E156" s="83">
        <v>-2</v>
      </c>
      <c r="F156" s="83">
        <v>1</v>
      </c>
      <c r="G156" s="82">
        <f>+C156*A156-F164*C156</f>
        <v>4</v>
      </c>
      <c r="I156" s="1"/>
      <c r="J156" s="1"/>
      <c r="K156" s="1"/>
      <c r="M156" s="10"/>
      <c r="N156" s="27"/>
      <c r="O156" s="27"/>
      <c r="P156" s="27"/>
      <c r="Q156" s="27"/>
      <c r="R156" s="94">
        <f>+(A156-G164)/$A$11</f>
        <v>9.6153846153846159E-3</v>
      </c>
    </row>
    <row r="157" spans="1:18" ht="20.25" customHeight="1" x14ac:dyDescent="0.25">
      <c r="A157" s="136">
        <v>1</v>
      </c>
      <c r="B157" s="138" t="s">
        <v>165</v>
      </c>
      <c r="C157" s="134"/>
      <c r="D157" s="134" t="s">
        <v>34</v>
      </c>
      <c r="E157" s="134"/>
      <c r="F157" s="134"/>
      <c r="G157" s="134" t="s">
        <v>166</v>
      </c>
      <c r="H157" s="134"/>
      <c r="I157" s="134"/>
      <c r="J157" s="134"/>
      <c r="K157" s="134"/>
      <c r="L157" s="189"/>
      <c r="M157" s="17" t="s">
        <v>41</v>
      </c>
      <c r="N157" s="114">
        <v>19587</v>
      </c>
      <c r="O157" s="12"/>
      <c r="P157" s="12"/>
      <c r="Q157" s="97" t="s">
        <v>167</v>
      </c>
    </row>
    <row r="158" spans="1:18" ht="39.6" x14ac:dyDescent="0.25">
      <c r="A158" s="136"/>
      <c r="B158" s="139"/>
      <c r="C158" s="130"/>
      <c r="D158" s="130"/>
      <c r="E158" s="130"/>
      <c r="F158" s="130"/>
      <c r="G158" s="130"/>
      <c r="H158" s="130"/>
      <c r="I158" s="130"/>
      <c r="J158" s="130"/>
      <c r="K158" s="130"/>
      <c r="L158" s="135"/>
      <c r="M158" s="16" t="s">
        <v>35</v>
      </c>
      <c r="N158" s="5">
        <v>351</v>
      </c>
      <c r="O158" s="5">
        <v>1979</v>
      </c>
      <c r="P158" s="5">
        <v>8</v>
      </c>
      <c r="Q158" s="95" t="s">
        <v>168</v>
      </c>
    </row>
    <row r="159" spans="1:18" ht="26.4" x14ac:dyDescent="0.25">
      <c r="A159" s="136">
        <v>1</v>
      </c>
      <c r="B159" s="139" t="s">
        <v>156</v>
      </c>
      <c r="C159" s="130"/>
      <c r="D159" s="130"/>
      <c r="E159" s="130"/>
      <c r="F159" s="130" t="s">
        <v>34</v>
      </c>
      <c r="G159" s="130"/>
      <c r="H159" s="130"/>
      <c r="I159" s="130"/>
      <c r="J159" s="130"/>
      <c r="K159" s="130"/>
      <c r="L159" s="135"/>
      <c r="M159" s="16" t="s">
        <v>41</v>
      </c>
      <c r="N159" s="115">
        <v>19587</v>
      </c>
      <c r="O159" s="5"/>
      <c r="P159" s="5"/>
      <c r="Q159" s="95" t="s">
        <v>169</v>
      </c>
    </row>
    <row r="160" spans="1:18" ht="39.6" x14ac:dyDescent="0.25">
      <c r="A160" s="136"/>
      <c r="B160" s="139"/>
      <c r="C160" s="130"/>
      <c r="D160" s="130"/>
      <c r="E160" s="130"/>
      <c r="F160" s="130"/>
      <c r="G160" s="130"/>
      <c r="H160" s="130"/>
      <c r="I160" s="130"/>
      <c r="J160" s="130"/>
      <c r="K160" s="130"/>
      <c r="L160" s="135"/>
      <c r="M160" s="16" t="s">
        <v>35</v>
      </c>
      <c r="N160" s="5">
        <v>351</v>
      </c>
      <c r="O160" s="5">
        <v>1979</v>
      </c>
      <c r="P160" s="5">
        <v>8</v>
      </c>
      <c r="Q160" s="95" t="s">
        <v>168</v>
      </c>
    </row>
    <row r="161" spans="1:18" x14ac:dyDescent="0.25">
      <c r="A161" s="136"/>
      <c r="B161" s="139"/>
      <c r="C161" s="130"/>
      <c r="D161" s="130"/>
      <c r="E161" s="130"/>
      <c r="F161" s="130"/>
      <c r="G161" s="130"/>
      <c r="H161" s="130"/>
      <c r="I161" s="130"/>
      <c r="J161" s="130"/>
      <c r="K161" s="130"/>
      <c r="L161" s="135"/>
      <c r="M161" s="16" t="s">
        <v>35</v>
      </c>
      <c r="N161" s="115">
        <v>1338</v>
      </c>
      <c r="O161" s="5">
        <v>1996</v>
      </c>
      <c r="P161" s="5"/>
      <c r="Q161" s="95">
        <v>10</v>
      </c>
    </row>
    <row r="162" spans="1:18" ht="20.25" customHeight="1" x14ac:dyDescent="0.25">
      <c r="A162" s="136">
        <v>1</v>
      </c>
      <c r="B162" s="139" t="s">
        <v>170</v>
      </c>
      <c r="C162" s="130"/>
      <c r="D162" s="130" t="s">
        <v>34</v>
      </c>
      <c r="E162" s="130"/>
      <c r="F162" s="130"/>
      <c r="G162" s="130" t="s">
        <v>171</v>
      </c>
      <c r="H162" s="130"/>
      <c r="I162" s="130"/>
      <c r="J162" s="130"/>
      <c r="K162" s="130"/>
      <c r="L162" s="135"/>
      <c r="M162" s="16" t="s">
        <v>41</v>
      </c>
      <c r="N162" s="115">
        <v>19587</v>
      </c>
      <c r="O162" s="5"/>
      <c r="P162" s="5"/>
      <c r="Q162" s="95" t="s">
        <v>167</v>
      </c>
    </row>
    <row r="163" spans="1:18" ht="20.25" customHeight="1" x14ac:dyDescent="0.25">
      <c r="A163" s="136"/>
      <c r="B163" s="141"/>
      <c r="C163" s="133"/>
      <c r="D163" s="133"/>
      <c r="E163" s="133"/>
      <c r="F163" s="133"/>
      <c r="G163" s="133"/>
      <c r="H163" s="133"/>
      <c r="I163" s="133"/>
      <c r="J163" s="133"/>
      <c r="K163" s="133"/>
      <c r="L163" s="165"/>
      <c r="M163" s="56" t="s">
        <v>35</v>
      </c>
      <c r="N163" s="6">
        <v>351</v>
      </c>
      <c r="O163" s="6">
        <v>1979</v>
      </c>
      <c r="P163" s="6">
        <v>8</v>
      </c>
      <c r="Q163" s="96" t="s">
        <v>172</v>
      </c>
    </row>
    <row r="164" spans="1:18" ht="20.25" customHeight="1" x14ac:dyDescent="0.25">
      <c r="A164" s="104"/>
      <c r="B164" s="10"/>
      <c r="C164" s="83">
        <f>+IF(C157="X",+C156,0)+IF(C159="X",+C156,0)+IF(C162="X",+C156,0)</f>
        <v>0</v>
      </c>
      <c r="D164" s="83">
        <f>+IF(D157="X",+D156,0)+IF(D159="X",+D156,0)+IF(D162="X",+D156,0)</f>
        <v>2</v>
      </c>
      <c r="E164" s="83">
        <f>+IF(E157="X",+E156,0)+IF(E159="X",+E156,0)+IF(E162="X",+E156,0)</f>
        <v>0</v>
      </c>
      <c r="F164" s="83">
        <f>+IF(F157="X",+F156,0)+IF(F159="X",+F156,0)+IF(F162="X",+F156,0)</f>
        <v>1</v>
      </c>
      <c r="G164" s="84">
        <f>SUM(C164:E164)</f>
        <v>2</v>
      </c>
      <c r="I164" s="1"/>
      <c r="J164" s="1"/>
      <c r="K164" s="1"/>
      <c r="M164" s="10"/>
      <c r="N164" s="27"/>
      <c r="O164" s="27"/>
      <c r="P164" s="27"/>
      <c r="Q164" s="27"/>
    </row>
    <row r="165" spans="1:18" ht="20.25" customHeight="1" x14ac:dyDescent="0.25">
      <c r="A165" s="102">
        <f>SUM(A166:A172)</f>
        <v>3</v>
      </c>
      <c r="B165" s="29" t="s">
        <v>173</v>
      </c>
      <c r="C165" s="83">
        <v>3</v>
      </c>
      <c r="D165" s="83">
        <v>1</v>
      </c>
      <c r="E165" s="83">
        <v>-3</v>
      </c>
      <c r="F165" s="83">
        <v>1</v>
      </c>
      <c r="G165" s="82">
        <f>+C165*A165-F173*C165</f>
        <v>9</v>
      </c>
      <c r="I165" s="1"/>
      <c r="J165" s="1"/>
      <c r="K165" s="1"/>
      <c r="M165" s="10"/>
      <c r="N165" s="27"/>
      <c r="O165" s="27"/>
      <c r="P165" s="27"/>
      <c r="Q165" s="27"/>
      <c r="R165" s="94">
        <f>+(A165-G173)/$A$11</f>
        <v>-5.7692307692307696E-2</v>
      </c>
    </row>
    <row r="166" spans="1:18" x14ac:dyDescent="0.25">
      <c r="A166" s="136">
        <v>1</v>
      </c>
      <c r="B166" s="142" t="s">
        <v>174</v>
      </c>
      <c r="C166" s="124" t="s">
        <v>34</v>
      </c>
      <c r="D166" s="124"/>
      <c r="E166" s="124"/>
      <c r="F166" s="124"/>
      <c r="G166" s="229"/>
      <c r="H166" s="230"/>
      <c r="I166" s="230"/>
      <c r="J166" s="230"/>
      <c r="K166" s="230"/>
      <c r="L166" s="231"/>
      <c r="M166" s="17" t="s">
        <v>41</v>
      </c>
      <c r="N166" s="114">
        <v>19587</v>
      </c>
      <c r="O166" s="12"/>
      <c r="P166" s="12"/>
      <c r="Q166" s="97" t="s">
        <v>154</v>
      </c>
    </row>
    <row r="167" spans="1:18" x14ac:dyDescent="0.25">
      <c r="A167" s="136"/>
      <c r="B167" s="137"/>
      <c r="C167" s="151"/>
      <c r="D167" s="125"/>
      <c r="E167" s="125"/>
      <c r="F167" s="125"/>
      <c r="G167" s="128"/>
      <c r="H167" s="232"/>
      <c r="I167" s="232"/>
      <c r="J167" s="232"/>
      <c r="K167" s="232"/>
      <c r="L167" s="233"/>
      <c r="M167" s="16" t="s">
        <v>35</v>
      </c>
      <c r="N167" s="5">
        <v>351</v>
      </c>
      <c r="O167" s="5">
        <v>1979</v>
      </c>
      <c r="P167" s="5">
        <v>6</v>
      </c>
      <c r="Q167" s="95">
        <v>57</v>
      </c>
    </row>
    <row r="168" spans="1:18" x14ac:dyDescent="0.25">
      <c r="A168" s="136">
        <v>1</v>
      </c>
      <c r="B168" s="139" t="s">
        <v>175</v>
      </c>
      <c r="C168" s="126" t="s">
        <v>34</v>
      </c>
      <c r="D168" s="129"/>
      <c r="E168" s="130"/>
      <c r="F168" s="130"/>
      <c r="G168" s="206"/>
      <c r="H168" s="206"/>
      <c r="I168" s="206"/>
      <c r="J168" s="206"/>
      <c r="K168" s="206"/>
      <c r="L168" s="207"/>
      <c r="M168" s="16" t="s">
        <v>41</v>
      </c>
      <c r="N168" s="115">
        <v>19587</v>
      </c>
      <c r="O168" s="5"/>
      <c r="P168" s="5"/>
      <c r="Q168" s="95" t="s">
        <v>154</v>
      </c>
    </row>
    <row r="169" spans="1:18" ht="26.4" x14ac:dyDescent="0.25">
      <c r="A169" s="136"/>
      <c r="B169" s="139"/>
      <c r="C169" s="127"/>
      <c r="D169" s="129"/>
      <c r="E169" s="130"/>
      <c r="F169" s="130"/>
      <c r="G169" s="208"/>
      <c r="H169" s="208"/>
      <c r="I169" s="208"/>
      <c r="J169" s="208"/>
      <c r="K169" s="208"/>
      <c r="L169" s="209"/>
      <c r="M169" s="16" t="s">
        <v>35</v>
      </c>
      <c r="N169" s="5">
        <v>351</v>
      </c>
      <c r="O169" s="5">
        <v>1979</v>
      </c>
      <c r="P169" s="5">
        <v>6</v>
      </c>
      <c r="Q169" s="95" t="s">
        <v>176</v>
      </c>
    </row>
    <row r="170" spans="1:18" ht="26.4" x14ac:dyDescent="0.25">
      <c r="A170" s="136"/>
      <c r="B170" s="139"/>
      <c r="C170" s="128"/>
      <c r="D170" s="129"/>
      <c r="E170" s="130"/>
      <c r="F170" s="130"/>
      <c r="G170" s="232"/>
      <c r="H170" s="232"/>
      <c r="I170" s="232"/>
      <c r="J170" s="232"/>
      <c r="K170" s="232"/>
      <c r="L170" s="233"/>
      <c r="M170" s="16" t="s">
        <v>177</v>
      </c>
      <c r="N170" s="5">
        <v>523</v>
      </c>
      <c r="O170" s="5">
        <v>1995</v>
      </c>
      <c r="P170" s="5"/>
      <c r="Q170" s="95"/>
    </row>
    <row r="171" spans="1:18" ht="20.25" customHeight="1" x14ac:dyDescent="0.25">
      <c r="A171" s="136">
        <v>1</v>
      </c>
      <c r="B171" s="139" t="s">
        <v>178</v>
      </c>
      <c r="C171" s="131" t="s">
        <v>34</v>
      </c>
      <c r="D171" s="125"/>
      <c r="E171" s="125"/>
      <c r="F171" s="125"/>
      <c r="G171" s="126"/>
      <c r="H171" s="206"/>
      <c r="I171" s="206"/>
      <c r="J171" s="206"/>
      <c r="K171" s="206"/>
      <c r="L171" s="207"/>
      <c r="M171" s="16" t="s">
        <v>41</v>
      </c>
      <c r="N171" s="115">
        <v>19587</v>
      </c>
      <c r="O171" s="5"/>
      <c r="P171" s="5"/>
      <c r="Q171" s="95" t="s">
        <v>154</v>
      </c>
    </row>
    <row r="172" spans="1:18" x14ac:dyDescent="0.25">
      <c r="A172" s="136"/>
      <c r="B172" s="141"/>
      <c r="C172" s="132"/>
      <c r="D172" s="132"/>
      <c r="E172" s="132"/>
      <c r="F172" s="132"/>
      <c r="G172" s="210"/>
      <c r="H172" s="211"/>
      <c r="I172" s="211"/>
      <c r="J172" s="211"/>
      <c r="K172" s="211"/>
      <c r="L172" s="212"/>
      <c r="M172" s="56" t="s">
        <v>35</v>
      </c>
      <c r="N172" s="6">
        <v>351</v>
      </c>
      <c r="O172" s="6">
        <v>1979</v>
      </c>
      <c r="P172" s="6">
        <v>6</v>
      </c>
      <c r="Q172" s="96">
        <v>57</v>
      </c>
    </row>
    <row r="173" spans="1:18" ht="20.25" customHeight="1" x14ac:dyDescent="0.25">
      <c r="A173" s="104"/>
      <c r="B173" s="10"/>
      <c r="C173" s="83">
        <f>+IF(C166="X",+C165,0)+IF(C168="X",+C165,0)+IF(C171="X",+C165,0)</f>
        <v>9</v>
      </c>
      <c r="D173" s="83">
        <f>+IF(D166="X",+D165,0)+IF(D168="X",+D165,0)+IF(D171="X",+D165,0)</f>
        <v>0</v>
      </c>
      <c r="E173" s="83">
        <f>+IF(E166="X",+E165,0)+IF(E168="X",+E165,0)+IF(E171="X",+E165,0)</f>
        <v>0</v>
      </c>
      <c r="F173" s="83">
        <f>+IF(F166="X",+F165,0)+IF(F168="X",+F165,0)+IF(F171="X",+F165,0)</f>
        <v>0</v>
      </c>
      <c r="G173" s="84">
        <f>SUM(C173:E173)</f>
        <v>9</v>
      </c>
      <c r="I173" s="1"/>
      <c r="J173" s="1"/>
      <c r="K173" s="1"/>
      <c r="M173" s="10"/>
      <c r="N173" s="27"/>
      <c r="O173" s="27"/>
      <c r="P173" s="27"/>
      <c r="Q173" s="27"/>
    </row>
    <row r="174" spans="1:18" ht="20.25" customHeight="1" x14ac:dyDescent="0.25">
      <c r="A174" s="103"/>
      <c r="C174" s="27"/>
      <c r="D174" s="27"/>
      <c r="E174" s="27"/>
      <c r="F174" s="27"/>
      <c r="I174" s="1"/>
      <c r="J174" s="1"/>
      <c r="K174" s="1"/>
      <c r="M174" s="10"/>
      <c r="N174" s="27"/>
      <c r="O174" s="27"/>
      <c r="P174" s="27"/>
      <c r="Q174" s="27"/>
    </row>
    <row r="175" spans="1:18" ht="20.25" customHeight="1" x14ac:dyDescent="0.25">
      <c r="A175" s="100">
        <f>SUM(A176:A179)</f>
        <v>4</v>
      </c>
      <c r="B175" s="29" t="s">
        <v>179</v>
      </c>
      <c r="C175" s="80">
        <v>1</v>
      </c>
      <c r="D175" s="80">
        <v>1</v>
      </c>
      <c r="E175" s="80">
        <v>-1</v>
      </c>
      <c r="F175" s="80">
        <v>1</v>
      </c>
      <c r="G175" s="85">
        <f>+C175*A175-F180*C175</f>
        <v>2</v>
      </c>
      <c r="I175" s="1"/>
      <c r="J175" s="1"/>
      <c r="K175" s="1"/>
      <c r="M175" s="57"/>
      <c r="N175" s="25"/>
      <c r="O175" s="25"/>
      <c r="P175" s="25"/>
      <c r="Q175" s="25"/>
      <c r="R175" s="94">
        <f>+(A175-G180)/$A$11</f>
        <v>1.9230769230769232E-2</v>
      </c>
    </row>
    <row r="176" spans="1:18" ht="26.4" x14ac:dyDescent="0.25">
      <c r="A176" s="101">
        <v>1</v>
      </c>
      <c r="B176" s="38" t="s">
        <v>180</v>
      </c>
      <c r="C176" s="3"/>
      <c r="D176" s="3" t="s">
        <v>34</v>
      </c>
      <c r="E176" s="3"/>
      <c r="F176" s="3"/>
      <c r="G176" s="213" t="s">
        <v>181</v>
      </c>
      <c r="H176" s="214"/>
      <c r="I176" s="214"/>
      <c r="J176" s="214"/>
      <c r="K176" s="214"/>
      <c r="L176" s="215"/>
      <c r="M176" s="59" t="s">
        <v>35</v>
      </c>
      <c r="N176" s="15">
        <v>351</v>
      </c>
      <c r="O176" s="15">
        <v>1979</v>
      </c>
      <c r="P176" s="3">
        <v>7</v>
      </c>
      <c r="Q176" s="105">
        <v>59</v>
      </c>
    </row>
    <row r="177" spans="1:18" ht="39.6" x14ac:dyDescent="0.25">
      <c r="A177" s="101">
        <v>1</v>
      </c>
      <c r="B177" s="39" t="s">
        <v>182</v>
      </c>
      <c r="C177" s="9" t="s">
        <v>34</v>
      </c>
      <c r="D177" s="9"/>
      <c r="E177" s="9"/>
      <c r="F177" s="9"/>
      <c r="G177" s="199"/>
      <c r="H177" s="200"/>
      <c r="I177" s="200"/>
      <c r="J177" s="200"/>
      <c r="K177" s="200"/>
      <c r="L177" s="201"/>
      <c r="M177" s="14" t="s">
        <v>35</v>
      </c>
      <c r="N177" s="8">
        <v>351</v>
      </c>
      <c r="O177" s="8">
        <v>1979</v>
      </c>
      <c r="P177" s="9">
        <v>7</v>
      </c>
      <c r="Q177" s="107">
        <v>59</v>
      </c>
    </row>
    <row r="178" spans="1:18" ht="26.4" x14ac:dyDescent="0.25">
      <c r="A178" s="101">
        <v>1</v>
      </c>
      <c r="B178" s="39" t="s">
        <v>183</v>
      </c>
      <c r="C178" s="9"/>
      <c r="D178" s="9"/>
      <c r="E178" s="9"/>
      <c r="F178" s="9" t="s">
        <v>34</v>
      </c>
      <c r="G178" s="199"/>
      <c r="H178" s="200"/>
      <c r="I178" s="200"/>
      <c r="J178" s="200"/>
      <c r="K178" s="200"/>
      <c r="L178" s="201"/>
      <c r="M178" s="14" t="s">
        <v>35</v>
      </c>
      <c r="N178" s="8">
        <v>351</v>
      </c>
      <c r="O178" s="8">
        <v>1979</v>
      </c>
      <c r="P178" s="9">
        <v>7</v>
      </c>
      <c r="Q178" s="107">
        <v>59</v>
      </c>
    </row>
    <row r="179" spans="1:18" ht="39.6" x14ac:dyDescent="0.25">
      <c r="A179" s="101">
        <v>1</v>
      </c>
      <c r="B179" s="40" t="s">
        <v>184</v>
      </c>
      <c r="C179" s="7"/>
      <c r="D179" s="7"/>
      <c r="E179" s="7"/>
      <c r="F179" s="7" t="s">
        <v>34</v>
      </c>
      <c r="G179" s="224"/>
      <c r="H179" s="225"/>
      <c r="I179" s="225"/>
      <c r="J179" s="225"/>
      <c r="K179" s="225"/>
      <c r="L179" s="226"/>
      <c r="M179" s="19" t="s">
        <v>35</v>
      </c>
      <c r="N179" s="7">
        <v>351</v>
      </c>
      <c r="O179" s="7">
        <v>1979</v>
      </c>
      <c r="P179" s="7">
        <v>7</v>
      </c>
      <c r="Q179" s="108">
        <v>59</v>
      </c>
    </row>
    <row r="180" spans="1:18" x14ac:dyDescent="0.25">
      <c r="A180" s="101"/>
      <c r="C180" s="83">
        <f>+IF(C176="X",+C175,0)+IF(C177="X",+C175,0)+IF(C178="X",+C175,0)+IF(C179="X",+C175,0)</f>
        <v>1</v>
      </c>
      <c r="D180" s="83">
        <f>+IF(D176="X",+D175,0)+IF(D177="X",+D175,0)+IF(D178="X",+D175,0)+IF(D179="X",+D175,0)</f>
        <v>1</v>
      </c>
      <c r="E180" s="83">
        <f>+IF(E176="X",+E175,0)+IF(E177="X",+E175,0)+IF(E178="X",+E175,0)+IF(E179="X",+E175,0)</f>
        <v>0</v>
      </c>
      <c r="F180" s="83">
        <f>+IF(F176="X",+F175,0)+IF(F177="X",+F175,0)+IF(F178="X",+F175,0)+IF(F179="X",+F175,0)</f>
        <v>2</v>
      </c>
      <c r="G180" s="82">
        <f>SUM(C180:E180)</f>
        <v>2</v>
      </c>
      <c r="I180" s="1"/>
      <c r="J180" s="1"/>
      <c r="K180" s="1"/>
      <c r="M180" s="10"/>
      <c r="N180" s="27"/>
      <c r="O180" s="27"/>
      <c r="P180" s="27"/>
      <c r="Q180" s="27"/>
    </row>
    <row r="181" spans="1:18" ht="20.25" customHeight="1" x14ac:dyDescent="0.25">
      <c r="A181" s="100">
        <f>SUM(A182:A186)</f>
        <v>5</v>
      </c>
      <c r="B181" s="29" t="s">
        <v>185</v>
      </c>
      <c r="C181" s="80">
        <v>3</v>
      </c>
      <c r="D181" s="80">
        <v>2</v>
      </c>
      <c r="E181" s="80">
        <v>-3</v>
      </c>
      <c r="F181" s="80">
        <v>1</v>
      </c>
      <c r="G181" s="33">
        <f>+C181*A181-F187*C181</f>
        <v>12</v>
      </c>
      <c r="I181" s="1"/>
      <c r="J181" s="1"/>
      <c r="K181" s="1"/>
      <c r="M181" s="57"/>
      <c r="N181" s="25"/>
      <c r="O181" s="25"/>
      <c r="P181" s="25"/>
      <c r="Q181" s="25"/>
      <c r="R181" s="94">
        <f>+(A181-G187)/$A$11</f>
        <v>6.7307692307692304E-2</v>
      </c>
    </row>
    <row r="182" spans="1:18" ht="19.5" customHeight="1" x14ac:dyDescent="0.25">
      <c r="A182" s="101">
        <v>1</v>
      </c>
      <c r="B182" s="38" t="s">
        <v>186</v>
      </c>
      <c r="C182" s="3"/>
      <c r="D182" s="3" t="s">
        <v>34</v>
      </c>
      <c r="E182" s="3"/>
      <c r="F182" s="3"/>
      <c r="G182" s="213" t="s">
        <v>187</v>
      </c>
      <c r="H182" s="214"/>
      <c r="I182" s="214"/>
      <c r="J182" s="214"/>
      <c r="K182" s="214"/>
      <c r="L182" s="215"/>
      <c r="M182" s="59" t="s">
        <v>35</v>
      </c>
      <c r="N182" s="15">
        <v>351</v>
      </c>
      <c r="O182" s="15">
        <v>1979</v>
      </c>
      <c r="P182" s="3">
        <v>5</v>
      </c>
      <c r="Q182" s="105" t="s">
        <v>188</v>
      </c>
    </row>
    <row r="183" spans="1:18" ht="20.25" customHeight="1" x14ac:dyDescent="0.25">
      <c r="A183" s="101">
        <v>1</v>
      </c>
      <c r="B183" s="39" t="s">
        <v>189</v>
      </c>
      <c r="C183" s="9"/>
      <c r="D183" s="9"/>
      <c r="E183" s="9" t="s">
        <v>34</v>
      </c>
      <c r="F183" s="9"/>
      <c r="G183" s="199" t="s">
        <v>190</v>
      </c>
      <c r="H183" s="200"/>
      <c r="I183" s="200"/>
      <c r="J183" s="200"/>
      <c r="K183" s="200"/>
      <c r="L183" s="201"/>
      <c r="M183" s="14" t="s">
        <v>35</v>
      </c>
      <c r="N183" s="8">
        <v>351</v>
      </c>
      <c r="O183" s="8">
        <v>1979</v>
      </c>
      <c r="P183" s="9">
        <v>5</v>
      </c>
      <c r="Q183" s="107" t="s">
        <v>191</v>
      </c>
    </row>
    <row r="184" spans="1:18" ht="20.25" customHeight="1" x14ac:dyDescent="0.25">
      <c r="A184" s="101">
        <v>1</v>
      </c>
      <c r="B184" s="39" t="s">
        <v>192</v>
      </c>
      <c r="C184" s="9"/>
      <c r="D184" s="9" t="s">
        <v>34</v>
      </c>
      <c r="E184" s="9"/>
      <c r="F184" s="9"/>
      <c r="G184" s="199" t="s">
        <v>187</v>
      </c>
      <c r="H184" s="200"/>
      <c r="I184" s="200"/>
      <c r="J184" s="200"/>
      <c r="K184" s="200"/>
      <c r="L184" s="201"/>
      <c r="M184" s="14" t="s">
        <v>35</v>
      </c>
      <c r="N184" s="8">
        <v>351</v>
      </c>
      <c r="O184" s="8">
        <v>1979</v>
      </c>
      <c r="P184" s="2">
        <v>5</v>
      </c>
      <c r="Q184" s="107">
        <v>52</v>
      </c>
    </row>
    <row r="185" spans="1:18" ht="20.25" customHeight="1" x14ac:dyDescent="0.25">
      <c r="A185" s="101">
        <v>1</v>
      </c>
      <c r="B185" s="39" t="s">
        <v>193</v>
      </c>
      <c r="C185" s="9"/>
      <c r="D185" s="9"/>
      <c r="E185" s="9" t="s">
        <v>34</v>
      </c>
      <c r="F185" s="9"/>
      <c r="G185" s="199" t="s">
        <v>194</v>
      </c>
      <c r="H185" s="200"/>
      <c r="I185" s="200"/>
      <c r="J185" s="200"/>
      <c r="K185" s="200"/>
      <c r="L185" s="201"/>
      <c r="M185" s="14" t="s">
        <v>35</v>
      </c>
      <c r="N185" s="8">
        <v>351</v>
      </c>
      <c r="O185" s="8">
        <v>1979</v>
      </c>
      <c r="P185" s="9">
        <v>5</v>
      </c>
      <c r="Q185" s="107">
        <v>53</v>
      </c>
    </row>
    <row r="186" spans="1:18" ht="20.25" customHeight="1" x14ac:dyDescent="0.25">
      <c r="A186" s="101">
        <v>1</v>
      </c>
      <c r="B186" s="40" t="s">
        <v>195</v>
      </c>
      <c r="C186" s="7"/>
      <c r="D186" s="7"/>
      <c r="E186" s="7"/>
      <c r="F186" s="7" t="s">
        <v>34</v>
      </c>
      <c r="G186" s="224"/>
      <c r="H186" s="225"/>
      <c r="I186" s="225"/>
      <c r="J186" s="225"/>
      <c r="K186" s="225"/>
      <c r="L186" s="226"/>
      <c r="M186" s="19" t="s">
        <v>35</v>
      </c>
      <c r="N186" s="7">
        <v>351</v>
      </c>
      <c r="O186" s="7">
        <v>1979</v>
      </c>
      <c r="P186" s="98">
        <v>5</v>
      </c>
      <c r="Q186" s="108">
        <v>56</v>
      </c>
    </row>
    <row r="187" spans="1:18" ht="20.25" customHeight="1" x14ac:dyDescent="0.25">
      <c r="A187" s="101"/>
      <c r="C187" s="83">
        <f>+IF(C182="X",+C181,0)+IF(C183="X",+C181,0)+IF(C184="X",+C181,0)+IF(C185="X",+C181,0)+IF(C186="X",+C181,0)</f>
        <v>0</v>
      </c>
      <c r="D187" s="83">
        <f>+IF(D182="X",+D181,0)+IF(D183="X",+D181,0)+IF(D184="X",+D181,0)+IF(D185="X",+D181,0)+IF(D186="X",+D181,0)</f>
        <v>4</v>
      </c>
      <c r="E187" s="83">
        <f>+IF(E182="X",+E181,0)+IF(E183="X",+E181,0)+IF(E184="X",+E181,0)+IF(E185="X",+E181,0)+IF(E186="X",+E181,0)</f>
        <v>-6</v>
      </c>
      <c r="F187" s="83">
        <f>+IF(F182="X",+F181,0)+IF(F183="X",+F181,0)+IF(F184="X",+F181,0)+IF(F185="X",+F181,0)+IF(F186="X",+F181,0)</f>
        <v>1</v>
      </c>
      <c r="G187" s="82">
        <f>SUM(C187:E187)</f>
        <v>-2</v>
      </c>
      <c r="I187" s="1"/>
      <c r="J187" s="1"/>
      <c r="K187" s="1"/>
      <c r="M187" s="10"/>
      <c r="N187" s="27"/>
      <c r="O187" s="27"/>
      <c r="P187" s="27"/>
      <c r="Q187" s="27"/>
    </row>
    <row r="188" spans="1:18" ht="14.4" x14ac:dyDescent="0.25">
      <c r="A188" s="100">
        <f>SUM(A189:A201)</f>
        <v>8</v>
      </c>
      <c r="B188" s="28" t="s">
        <v>196</v>
      </c>
      <c r="C188" s="80">
        <v>3</v>
      </c>
      <c r="D188" s="80">
        <v>2</v>
      </c>
      <c r="E188" s="80">
        <v>-3</v>
      </c>
      <c r="F188" s="80">
        <v>1</v>
      </c>
      <c r="G188" s="33">
        <f>+C188*A188-F202*C188</f>
        <v>0</v>
      </c>
      <c r="I188" s="1"/>
      <c r="J188" s="1"/>
      <c r="K188" s="1"/>
      <c r="M188" s="57"/>
      <c r="N188" s="25"/>
      <c r="O188" s="25"/>
      <c r="P188" s="25"/>
      <c r="Q188" s="25"/>
      <c r="R188" s="94">
        <f>+(A188-G202)/$A$11</f>
        <v>7.6923076923076927E-2</v>
      </c>
    </row>
    <row r="189" spans="1:18" s="31" customFormat="1" ht="20.25" customHeight="1" x14ac:dyDescent="0.25">
      <c r="A189" s="101">
        <v>1</v>
      </c>
      <c r="B189" s="38" t="s">
        <v>197</v>
      </c>
      <c r="C189" s="3"/>
      <c r="D189" s="3"/>
      <c r="E189" s="3"/>
      <c r="F189" s="3" t="s">
        <v>34</v>
      </c>
      <c r="G189" s="213"/>
      <c r="H189" s="214"/>
      <c r="I189" s="214"/>
      <c r="J189" s="214"/>
      <c r="K189" s="214"/>
      <c r="L189" s="215"/>
      <c r="M189" s="59" t="s">
        <v>35</v>
      </c>
      <c r="N189" s="15">
        <v>351</v>
      </c>
      <c r="O189" s="15">
        <v>1979</v>
      </c>
      <c r="P189" s="3">
        <v>15</v>
      </c>
      <c r="Q189" s="105" t="s">
        <v>198</v>
      </c>
    </row>
    <row r="190" spans="1:18" ht="31.5" customHeight="1" x14ac:dyDescent="0.25">
      <c r="A190" s="101">
        <v>1</v>
      </c>
      <c r="B190" s="39" t="s">
        <v>199</v>
      </c>
      <c r="C190" s="9"/>
      <c r="D190" s="9"/>
      <c r="E190" s="9"/>
      <c r="F190" s="9" t="s">
        <v>34</v>
      </c>
      <c r="G190" s="199"/>
      <c r="H190" s="200"/>
      <c r="I190" s="200"/>
      <c r="J190" s="200"/>
      <c r="K190" s="200"/>
      <c r="L190" s="201"/>
      <c r="M190" s="14" t="s">
        <v>35</v>
      </c>
      <c r="N190" s="8">
        <v>351</v>
      </c>
      <c r="O190" s="8">
        <v>1979</v>
      </c>
      <c r="P190" s="2">
        <v>15</v>
      </c>
      <c r="Q190" s="107">
        <v>117</v>
      </c>
    </row>
    <row r="191" spans="1:18" ht="20.25" customHeight="1" x14ac:dyDescent="0.25">
      <c r="A191" s="136">
        <v>1</v>
      </c>
      <c r="B191" s="145" t="s">
        <v>200</v>
      </c>
      <c r="C191" s="148"/>
      <c r="D191" s="148"/>
      <c r="E191" s="148"/>
      <c r="F191" s="148" t="s">
        <v>34</v>
      </c>
      <c r="G191" s="218"/>
      <c r="H191" s="219"/>
      <c r="I191" s="219"/>
      <c r="J191" s="219"/>
      <c r="K191" s="219"/>
      <c r="L191" s="220"/>
      <c r="M191" s="14" t="s">
        <v>41</v>
      </c>
      <c r="N191" s="120">
        <v>19587</v>
      </c>
      <c r="O191" s="8"/>
      <c r="P191" s="2"/>
      <c r="Q191" s="107" t="s">
        <v>50</v>
      </c>
    </row>
    <row r="192" spans="1:18" ht="20.25" customHeight="1" x14ac:dyDescent="0.25">
      <c r="A192" s="136"/>
      <c r="B192" s="144"/>
      <c r="C192" s="150"/>
      <c r="D192" s="150"/>
      <c r="E192" s="150"/>
      <c r="F192" s="150"/>
      <c r="G192" s="221"/>
      <c r="H192" s="222"/>
      <c r="I192" s="222"/>
      <c r="J192" s="222"/>
      <c r="K192" s="222"/>
      <c r="L192" s="223"/>
      <c r="M192" s="14" t="s">
        <v>35</v>
      </c>
      <c r="N192" s="8">
        <v>351</v>
      </c>
      <c r="O192" s="8">
        <v>1979</v>
      </c>
      <c r="P192" s="9">
        <v>14</v>
      </c>
      <c r="Q192" s="107" t="s">
        <v>118</v>
      </c>
    </row>
    <row r="193" spans="1:18" ht="20.25" customHeight="1" x14ac:dyDescent="0.25">
      <c r="A193" s="136">
        <v>1</v>
      </c>
      <c r="B193" s="145" t="s">
        <v>201</v>
      </c>
      <c r="C193" s="148"/>
      <c r="D193" s="148"/>
      <c r="E193" s="148"/>
      <c r="F193" s="148" t="s">
        <v>34</v>
      </c>
      <c r="G193" s="218"/>
      <c r="H193" s="219"/>
      <c r="I193" s="219"/>
      <c r="J193" s="219"/>
      <c r="K193" s="219"/>
      <c r="L193" s="220"/>
      <c r="M193" s="14" t="s">
        <v>41</v>
      </c>
      <c r="N193" s="120">
        <v>19587</v>
      </c>
      <c r="O193" s="8"/>
      <c r="P193" s="9"/>
      <c r="Q193" s="107" t="s">
        <v>50</v>
      </c>
    </row>
    <row r="194" spans="1:18" ht="20.25" customHeight="1" x14ac:dyDescent="0.25">
      <c r="A194" s="136"/>
      <c r="B194" s="144"/>
      <c r="C194" s="150"/>
      <c r="D194" s="150"/>
      <c r="E194" s="150"/>
      <c r="F194" s="150"/>
      <c r="G194" s="221"/>
      <c r="H194" s="222"/>
      <c r="I194" s="222"/>
      <c r="J194" s="222"/>
      <c r="K194" s="222"/>
      <c r="L194" s="223"/>
      <c r="M194" s="62" t="s">
        <v>35</v>
      </c>
      <c r="N194" s="8">
        <v>351</v>
      </c>
      <c r="O194" s="8">
        <v>1979</v>
      </c>
      <c r="P194" s="9">
        <v>15</v>
      </c>
      <c r="Q194" s="107">
        <v>126</v>
      </c>
    </row>
    <row r="195" spans="1:18" ht="20.25" customHeight="1" x14ac:dyDescent="0.25">
      <c r="A195" s="136">
        <v>1</v>
      </c>
      <c r="B195" s="145" t="s">
        <v>202</v>
      </c>
      <c r="C195" s="148"/>
      <c r="D195" s="148"/>
      <c r="E195" s="148"/>
      <c r="F195" s="148" t="s">
        <v>34</v>
      </c>
      <c r="G195" s="218"/>
      <c r="H195" s="219"/>
      <c r="I195" s="219"/>
      <c r="J195" s="219"/>
      <c r="K195" s="219"/>
      <c r="L195" s="220"/>
      <c r="M195" s="14" t="s">
        <v>41</v>
      </c>
      <c r="N195" s="120">
        <v>19587</v>
      </c>
      <c r="O195" s="8"/>
      <c r="P195" s="9"/>
      <c r="Q195" s="107" t="s">
        <v>50</v>
      </c>
    </row>
    <row r="196" spans="1:18" ht="20.25" customHeight="1" x14ac:dyDescent="0.25">
      <c r="A196" s="136"/>
      <c r="B196" s="146"/>
      <c r="C196" s="149"/>
      <c r="D196" s="149"/>
      <c r="E196" s="149"/>
      <c r="F196" s="149"/>
      <c r="G196" s="248"/>
      <c r="H196" s="208"/>
      <c r="I196" s="208"/>
      <c r="J196" s="208"/>
      <c r="K196" s="208"/>
      <c r="L196" s="209"/>
      <c r="M196" s="62" t="s">
        <v>35</v>
      </c>
      <c r="N196" s="8">
        <v>351</v>
      </c>
      <c r="O196" s="8">
        <v>1979</v>
      </c>
      <c r="P196" s="9">
        <v>15</v>
      </c>
      <c r="Q196" s="107">
        <v>116</v>
      </c>
    </row>
    <row r="197" spans="1:18" ht="20.25" customHeight="1" x14ac:dyDescent="0.25">
      <c r="A197" s="136"/>
      <c r="B197" s="144"/>
      <c r="C197" s="150"/>
      <c r="D197" s="150"/>
      <c r="E197" s="150"/>
      <c r="F197" s="150"/>
      <c r="G197" s="221"/>
      <c r="H197" s="222"/>
      <c r="I197" s="222"/>
      <c r="J197" s="222"/>
      <c r="K197" s="222"/>
      <c r="L197" s="223"/>
      <c r="M197" s="62" t="s">
        <v>35</v>
      </c>
      <c r="N197" s="120">
        <v>1338</v>
      </c>
      <c r="O197" s="8">
        <v>1996</v>
      </c>
      <c r="P197" s="9">
        <v>10</v>
      </c>
      <c r="Q197" s="107">
        <v>10</v>
      </c>
    </row>
    <row r="198" spans="1:18" ht="20.25" customHeight="1" x14ac:dyDescent="0.25">
      <c r="A198" s="136">
        <v>1</v>
      </c>
      <c r="B198" s="145" t="s">
        <v>203</v>
      </c>
      <c r="C198" s="148"/>
      <c r="D198" s="148"/>
      <c r="E198" s="148"/>
      <c r="F198" s="148" t="s">
        <v>34</v>
      </c>
      <c r="G198" s="218"/>
      <c r="H198" s="219"/>
      <c r="I198" s="219"/>
      <c r="J198" s="219"/>
      <c r="K198" s="219"/>
      <c r="L198" s="220"/>
      <c r="M198" s="14" t="s">
        <v>41</v>
      </c>
      <c r="N198" s="120">
        <v>19587</v>
      </c>
      <c r="O198" s="8"/>
      <c r="P198" s="9"/>
      <c r="Q198" s="107" t="s">
        <v>87</v>
      </c>
    </row>
    <row r="199" spans="1:18" ht="20.25" customHeight="1" x14ac:dyDescent="0.25">
      <c r="A199" s="136"/>
      <c r="B199" s="144"/>
      <c r="C199" s="150"/>
      <c r="D199" s="150"/>
      <c r="E199" s="150"/>
      <c r="F199" s="150"/>
      <c r="G199" s="221"/>
      <c r="H199" s="222"/>
      <c r="I199" s="222"/>
      <c r="J199" s="222"/>
      <c r="K199" s="222"/>
      <c r="L199" s="223"/>
      <c r="M199" s="62" t="s">
        <v>35</v>
      </c>
      <c r="N199" s="8">
        <v>351</v>
      </c>
      <c r="O199" s="8">
        <v>1979</v>
      </c>
      <c r="P199" s="9">
        <v>21</v>
      </c>
      <c r="Q199" s="107" t="s">
        <v>204</v>
      </c>
    </row>
    <row r="200" spans="1:18" ht="20.25" customHeight="1" x14ac:dyDescent="0.25">
      <c r="A200" s="101">
        <v>1</v>
      </c>
      <c r="B200" s="39" t="s">
        <v>205</v>
      </c>
      <c r="C200" s="9"/>
      <c r="D200" s="9"/>
      <c r="E200" s="9"/>
      <c r="F200" s="9" t="s">
        <v>34</v>
      </c>
      <c r="G200" s="199"/>
      <c r="H200" s="200"/>
      <c r="I200" s="200"/>
      <c r="J200" s="200"/>
      <c r="K200" s="200"/>
      <c r="L200" s="201"/>
      <c r="M200" s="62" t="s">
        <v>35</v>
      </c>
      <c r="N200" s="8">
        <v>351</v>
      </c>
      <c r="O200" s="8">
        <v>1979</v>
      </c>
      <c r="P200" s="9">
        <v>15</v>
      </c>
      <c r="Q200" s="107">
        <v>137</v>
      </c>
    </row>
    <row r="201" spans="1:18" ht="41.25" customHeight="1" x14ac:dyDescent="0.25">
      <c r="A201" s="101">
        <v>1</v>
      </c>
      <c r="B201" s="40" t="s">
        <v>206</v>
      </c>
      <c r="C201" s="7"/>
      <c r="D201" s="7"/>
      <c r="E201" s="7"/>
      <c r="F201" s="7" t="s">
        <v>34</v>
      </c>
      <c r="G201" s="224"/>
      <c r="H201" s="225"/>
      <c r="I201" s="225"/>
      <c r="J201" s="225"/>
      <c r="K201" s="225"/>
      <c r="L201" s="226"/>
      <c r="M201" s="63" t="s">
        <v>35</v>
      </c>
      <c r="N201" s="7">
        <v>351</v>
      </c>
      <c r="O201" s="7">
        <v>1979</v>
      </c>
      <c r="P201" s="7">
        <v>15</v>
      </c>
      <c r="Q201" s="108" t="s">
        <v>207</v>
      </c>
    </row>
    <row r="202" spans="1:18" ht="20.25" customHeight="1" x14ac:dyDescent="0.25">
      <c r="A202" s="101"/>
      <c r="C202" s="83">
        <f>+IF(C189="X",+C188,0)+IF(C190="X",+C188,0)+IF(C191="X",+C188,0)+IF(C193="X",+C188,0)+IF(C195="X",+C188,0)+IF(C198="X",+C188,0)+IF(C200="X",+C188,0)+IF(C201="X",+C188,0)</f>
        <v>0</v>
      </c>
      <c r="D202" s="83">
        <f>+IF(D189="X",+D188,0)+IF(D190="X",+D188,0)+IF(D191="X",+D188,0)+IF(D193="X",+D188,0)+IF(D195="X",+D188,0)+IF(D198="X",+D188,0)+IF(D200="X",+D188,0)+IF(D201="X",+D188,0)</f>
        <v>0</v>
      </c>
      <c r="E202" s="83">
        <f>+IF(E189="X",+E188,0)+IF(E190="X",+E188,0)+IF(E191="X",+E188,0)+IF(E193="X",+E188,0)+IF(E195="X",+E188,0)+IF(E198="X",+E188,0)+IF(E200="X",+E188,0)+IF(E201="X",+E188,0)</f>
        <v>0</v>
      </c>
      <c r="F202" s="83">
        <f>+IF(F189="X",+F188,0)+IF(F190="X",+F188,0)+IF(F191="X",+F188,0)+IF(F193="X",+F188,0)+IF(F195="X",+F188,0)+IF(F198="X",+F188,0)+IF(F200="X",+F188,0)+IF(F201="X",+F188,0)</f>
        <v>8</v>
      </c>
      <c r="G202" s="82">
        <f>SUM(C202:E202)</f>
        <v>0</v>
      </c>
      <c r="I202" s="1"/>
      <c r="J202" s="1"/>
      <c r="K202" s="1"/>
      <c r="M202" s="10"/>
      <c r="N202" s="27"/>
      <c r="O202" s="27"/>
      <c r="P202" s="27"/>
      <c r="Q202" s="27"/>
    </row>
    <row r="203" spans="1:18" ht="20.25" customHeight="1" x14ac:dyDescent="0.25">
      <c r="A203" s="100">
        <f>SUM(A204:A210)</f>
        <v>3</v>
      </c>
      <c r="B203" s="29" t="s">
        <v>208</v>
      </c>
      <c r="C203" s="83">
        <v>2</v>
      </c>
      <c r="D203" s="83">
        <v>1</v>
      </c>
      <c r="E203" s="83">
        <v>-2</v>
      </c>
      <c r="F203" s="83">
        <v>1</v>
      </c>
      <c r="G203" s="82">
        <f>+C203*A203-F211*C203</f>
        <v>6</v>
      </c>
      <c r="I203" s="1"/>
      <c r="J203" s="1"/>
      <c r="K203" s="1"/>
      <c r="M203" s="10"/>
      <c r="N203" s="27"/>
      <c r="O203" s="27"/>
      <c r="P203" s="27"/>
      <c r="Q203" s="27"/>
      <c r="R203" s="94">
        <f>+(A203-G211)/$A$11</f>
        <v>-2.8846153846153848E-2</v>
      </c>
    </row>
    <row r="204" spans="1:18" ht="20.25" customHeight="1" x14ac:dyDescent="0.25">
      <c r="A204" s="136">
        <v>1</v>
      </c>
      <c r="B204" s="143" t="s">
        <v>209</v>
      </c>
      <c r="C204" s="249" t="s">
        <v>34</v>
      </c>
      <c r="D204" s="15"/>
      <c r="E204" s="15"/>
      <c r="F204" s="77"/>
      <c r="G204" s="134"/>
      <c r="H204" s="134"/>
      <c r="I204" s="134"/>
      <c r="J204" s="134"/>
      <c r="K204" s="134"/>
      <c r="L204" s="189"/>
      <c r="M204" s="59" t="s">
        <v>41</v>
      </c>
      <c r="N204" s="117">
        <v>19587</v>
      </c>
      <c r="O204" s="3"/>
      <c r="P204" s="3"/>
      <c r="Q204" s="105" t="s">
        <v>87</v>
      </c>
    </row>
    <row r="205" spans="1:18" ht="20.25" customHeight="1" x14ac:dyDescent="0.25">
      <c r="A205" s="136"/>
      <c r="B205" s="144"/>
      <c r="C205" s="150"/>
      <c r="D205" s="2"/>
      <c r="E205" s="2"/>
      <c r="F205" s="49"/>
      <c r="G205" s="130"/>
      <c r="H205" s="130"/>
      <c r="I205" s="130"/>
      <c r="J205" s="130"/>
      <c r="K205" s="130"/>
      <c r="L205" s="135"/>
      <c r="M205" s="62" t="s">
        <v>35</v>
      </c>
      <c r="N205" s="2">
        <v>351</v>
      </c>
      <c r="O205" s="2">
        <v>1979</v>
      </c>
      <c r="P205" s="2">
        <v>21</v>
      </c>
      <c r="Q205" s="106" t="s">
        <v>204</v>
      </c>
    </row>
    <row r="206" spans="1:18" ht="20.25" customHeight="1" x14ac:dyDescent="0.25">
      <c r="A206" s="136">
        <v>1</v>
      </c>
      <c r="B206" s="145" t="s">
        <v>210</v>
      </c>
      <c r="C206" s="148" t="s">
        <v>34</v>
      </c>
      <c r="D206" s="8"/>
      <c r="E206" s="8"/>
      <c r="F206" s="50"/>
      <c r="G206" s="130"/>
      <c r="H206" s="130"/>
      <c r="I206" s="130"/>
      <c r="J206" s="130"/>
      <c r="K206" s="130"/>
      <c r="L206" s="135"/>
      <c r="M206" s="14" t="s">
        <v>41</v>
      </c>
      <c r="N206" s="118">
        <v>19587</v>
      </c>
      <c r="O206" s="2"/>
      <c r="P206" s="2"/>
      <c r="Q206" s="106" t="s">
        <v>87</v>
      </c>
    </row>
    <row r="207" spans="1:18" ht="20.25" customHeight="1" x14ac:dyDescent="0.25">
      <c r="A207" s="136"/>
      <c r="B207" s="146"/>
      <c r="C207" s="250"/>
      <c r="D207" s="11"/>
      <c r="E207" s="11"/>
      <c r="F207" s="51"/>
      <c r="G207" s="130"/>
      <c r="H207" s="130"/>
      <c r="I207" s="130"/>
      <c r="J207" s="130"/>
      <c r="K207" s="130"/>
      <c r="L207" s="135"/>
      <c r="M207" s="13" t="s">
        <v>35</v>
      </c>
      <c r="N207" s="8">
        <v>351</v>
      </c>
      <c r="O207" s="11">
        <v>1979</v>
      </c>
      <c r="P207" s="11">
        <v>21</v>
      </c>
      <c r="Q207" s="112">
        <v>211</v>
      </c>
    </row>
    <row r="208" spans="1:18" ht="20.25" customHeight="1" x14ac:dyDescent="0.25">
      <c r="A208" s="136">
        <v>1</v>
      </c>
      <c r="B208" s="139" t="s">
        <v>211</v>
      </c>
      <c r="C208" s="131" t="s">
        <v>34</v>
      </c>
      <c r="D208" s="22"/>
      <c r="E208" s="22"/>
      <c r="F208" s="52"/>
      <c r="G208" s="130"/>
      <c r="H208" s="130"/>
      <c r="I208" s="130"/>
      <c r="J208" s="130"/>
      <c r="K208" s="130"/>
      <c r="L208" s="135"/>
      <c r="M208" s="16" t="s">
        <v>41</v>
      </c>
      <c r="N208" s="115">
        <v>19587</v>
      </c>
      <c r="O208" s="5"/>
      <c r="P208" s="5"/>
      <c r="Q208" s="95" t="s">
        <v>87</v>
      </c>
    </row>
    <row r="209" spans="1:18" ht="20.25" customHeight="1" x14ac:dyDescent="0.25">
      <c r="A209" s="136"/>
      <c r="B209" s="139"/>
      <c r="C209" s="125"/>
      <c r="D209" s="20"/>
      <c r="E209" s="20"/>
      <c r="F209" s="30"/>
      <c r="G209" s="130"/>
      <c r="H209" s="130"/>
      <c r="I209" s="130"/>
      <c r="J209" s="130"/>
      <c r="K209" s="130"/>
      <c r="L209" s="135"/>
      <c r="M209" s="16" t="s">
        <v>35</v>
      </c>
      <c r="N209" s="5">
        <v>351</v>
      </c>
      <c r="O209" s="5">
        <v>1979</v>
      </c>
      <c r="P209" s="5">
        <v>21</v>
      </c>
      <c r="Q209" s="95">
        <v>213</v>
      </c>
    </row>
    <row r="210" spans="1:18" ht="20.25" customHeight="1" x14ac:dyDescent="0.25">
      <c r="A210" s="136"/>
      <c r="B210" s="141"/>
      <c r="C210" s="132"/>
      <c r="D210" s="21"/>
      <c r="E210" s="21"/>
      <c r="F210" s="53"/>
      <c r="G210" s="133"/>
      <c r="H210" s="133"/>
      <c r="I210" s="133"/>
      <c r="J210" s="133"/>
      <c r="K210" s="133"/>
      <c r="L210" s="165"/>
      <c r="M210" s="56" t="s">
        <v>35</v>
      </c>
      <c r="N210" s="116">
        <v>1338</v>
      </c>
      <c r="O210" s="6">
        <v>1996</v>
      </c>
      <c r="P210" s="6"/>
      <c r="Q210" s="96"/>
    </row>
    <row r="211" spans="1:18" ht="20.25" customHeight="1" x14ac:dyDescent="0.25">
      <c r="A211" s="101"/>
      <c r="C211" s="83">
        <f>+IF(C204="X",+C203,0)+IF(C206="X",+C203,0)+IF(C208="X",+C203,0)</f>
        <v>6</v>
      </c>
      <c r="D211" s="83">
        <f>+IF(D204="X",+D203,0)+IF(D206="X",+D203,0)+IF(D208="X",+D203,0)</f>
        <v>0</v>
      </c>
      <c r="E211" s="83">
        <f>+IF(E204="X",+E203,0)+IF(E206="X",+E203,0)+IF(E208="X",+E203,0)</f>
        <v>0</v>
      </c>
      <c r="F211" s="83">
        <f>+IF(F204="X",+F203,0)+IF(F206="X",+F203,0)+IF(F208="X",+F203,0)</f>
        <v>0</v>
      </c>
      <c r="G211" s="82">
        <f>SUM(C211:E211)</f>
        <v>6</v>
      </c>
      <c r="I211" s="1"/>
      <c r="J211" s="1"/>
      <c r="K211" s="1"/>
      <c r="M211" s="10"/>
      <c r="N211" s="122"/>
      <c r="O211" s="27"/>
      <c r="P211" s="27"/>
      <c r="Q211" s="27"/>
    </row>
    <row r="212" spans="1:18" ht="20.25" customHeight="1" x14ac:dyDescent="0.25">
      <c r="A212" s="100">
        <f>SUM(A213)</f>
        <v>1</v>
      </c>
      <c r="B212" s="29" t="s">
        <v>212</v>
      </c>
      <c r="C212" s="80">
        <v>2</v>
      </c>
      <c r="D212" s="80">
        <v>1</v>
      </c>
      <c r="E212" s="80">
        <v>-2</v>
      </c>
      <c r="F212" s="80">
        <v>1</v>
      </c>
      <c r="G212" s="85">
        <f>+C212*A212-F214*C212</f>
        <v>2</v>
      </c>
      <c r="I212" s="1"/>
      <c r="J212" s="1"/>
      <c r="K212" s="1"/>
      <c r="M212" s="57"/>
      <c r="N212" s="25"/>
      <c r="O212" s="25"/>
      <c r="P212" s="25"/>
      <c r="Q212" s="25"/>
      <c r="R212" s="94">
        <f>+(A212-G214)/$A$11</f>
        <v>-9.6153846153846159E-3</v>
      </c>
    </row>
    <row r="213" spans="1:18" ht="27.75" customHeight="1" x14ac:dyDescent="0.25">
      <c r="A213" s="101">
        <v>1</v>
      </c>
      <c r="B213" s="41" t="s">
        <v>213</v>
      </c>
      <c r="C213" s="4" t="s">
        <v>34</v>
      </c>
      <c r="D213" s="4"/>
      <c r="E213" s="4"/>
      <c r="F213" s="78"/>
      <c r="G213" s="227"/>
      <c r="H213" s="227"/>
      <c r="I213" s="227"/>
      <c r="J213" s="227"/>
      <c r="K213" s="227"/>
      <c r="L213" s="228"/>
      <c r="M213" s="64" t="s">
        <v>41</v>
      </c>
      <c r="N213" s="123">
        <v>19587</v>
      </c>
      <c r="O213" s="4"/>
      <c r="P213" s="4"/>
      <c r="Q213" s="113" t="s">
        <v>214</v>
      </c>
    </row>
    <row r="214" spans="1:18" ht="19.5" customHeight="1" x14ac:dyDescent="0.25">
      <c r="A214" s="101"/>
      <c r="C214" s="83">
        <f>+IF(C213="X",+C212,0)</f>
        <v>2</v>
      </c>
      <c r="D214" s="83">
        <f>+IF(D213="X",+D212,0)</f>
        <v>0</v>
      </c>
      <c r="E214" s="83">
        <f>+IF(E213="X",+E212,0)</f>
        <v>0</v>
      </c>
      <c r="F214" s="83">
        <f>+IF(F213="X",+F212,0)</f>
        <v>0</v>
      </c>
      <c r="G214" s="82">
        <f>SUM(C214:E214)</f>
        <v>2</v>
      </c>
      <c r="I214" s="1"/>
      <c r="J214" s="1"/>
      <c r="K214" s="1"/>
      <c r="M214" s="10"/>
      <c r="N214" s="27"/>
      <c r="O214" s="27"/>
      <c r="P214" s="27"/>
      <c r="Q214" s="27"/>
    </row>
    <row r="215" spans="1:18" ht="20.25" customHeight="1" x14ac:dyDescent="0.25">
      <c r="A215" s="100">
        <f>SUM(A216:A226)</f>
        <v>9</v>
      </c>
      <c r="B215" s="29" t="s">
        <v>215</v>
      </c>
      <c r="C215" s="83">
        <v>3</v>
      </c>
      <c r="D215" s="83">
        <v>2</v>
      </c>
      <c r="E215" s="83">
        <v>-3</v>
      </c>
      <c r="F215" s="83">
        <v>1</v>
      </c>
      <c r="G215" s="82">
        <f>+C215*A215-F227*C215</f>
        <v>24</v>
      </c>
      <c r="I215" s="1"/>
      <c r="J215" s="1"/>
      <c r="K215" s="1"/>
      <c r="M215" s="10"/>
      <c r="N215" s="27"/>
      <c r="O215" s="27"/>
      <c r="P215" s="27"/>
      <c r="Q215" s="27"/>
      <c r="R215" s="94">
        <f>+(A215-G227)/$A$11</f>
        <v>-0.14423076923076922</v>
      </c>
    </row>
    <row r="216" spans="1:18" ht="20.25" customHeight="1" x14ac:dyDescent="0.25">
      <c r="A216" s="101">
        <v>1</v>
      </c>
      <c r="B216" s="38" t="s">
        <v>216</v>
      </c>
      <c r="C216" s="3" t="s">
        <v>34</v>
      </c>
      <c r="D216" s="3"/>
      <c r="E216" s="3"/>
      <c r="F216" s="3"/>
      <c r="G216" s="213"/>
      <c r="H216" s="214"/>
      <c r="I216" s="214"/>
      <c r="J216" s="214"/>
      <c r="K216" s="214"/>
      <c r="L216" s="215"/>
      <c r="M216" s="59" t="s">
        <v>35</v>
      </c>
      <c r="N216" s="3">
        <v>351</v>
      </c>
      <c r="O216" s="3">
        <v>1979</v>
      </c>
      <c r="P216" s="3">
        <v>15</v>
      </c>
      <c r="Q216" s="105">
        <v>134</v>
      </c>
    </row>
    <row r="217" spans="1:18" ht="52.8" x14ac:dyDescent="0.25">
      <c r="A217" s="101">
        <v>1</v>
      </c>
      <c r="B217" s="39" t="s">
        <v>217</v>
      </c>
      <c r="C217" s="9" t="s">
        <v>34</v>
      </c>
      <c r="D217" s="9"/>
      <c r="E217" s="9"/>
      <c r="F217" s="9"/>
      <c r="G217" s="199"/>
      <c r="H217" s="200"/>
      <c r="I217" s="200"/>
      <c r="J217" s="200"/>
      <c r="K217" s="200"/>
      <c r="L217" s="201"/>
      <c r="M217" s="62" t="s">
        <v>35</v>
      </c>
      <c r="N217" s="2">
        <v>351</v>
      </c>
      <c r="O217" s="2">
        <v>1979</v>
      </c>
      <c r="P217" s="2">
        <v>15</v>
      </c>
      <c r="Q217" s="106">
        <v>134</v>
      </c>
    </row>
    <row r="218" spans="1:18" ht="27.75" customHeight="1" x14ac:dyDescent="0.25">
      <c r="A218" s="101">
        <v>1</v>
      </c>
      <c r="B218" s="39" t="s">
        <v>218</v>
      </c>
      <c r="C218" s="9" t="s">
        <v>34</v>
      </c>
      <c r="D218" s="9"/>
      <c r="E218" s="9"/>
      <c r="F218" s="9"/>
      <c r="G218" s="199"/>
      <c r="H218" s="200"/>
      <c r="I218" s="200"/>
      <c r="J218" s="200"/>
      <c r="K218" s="200"/>
      <c r="L218" s="201"/>
      <c r="M218" s="62" t="s">
        <v>35</v>
      </c>
      <c r="N218" s="2">
        <v>351</v>
      </c>
      <c r="O218" s="2">
        <v>1979</v>
      </c>
      <c r="P218" s="2">
        <v>15</v>
      </c>
      <c r="Q218" s="106">
        <v>134</v>
      </c>
    </row>
    <row r="219" spans="1:18" ht="27.75" customHeight="1" x14ac:dyDescent="0.25">
      <c r="A219" s="101">
        <v>1</v>
      </c>
      <c r="B219" s="39" t="s">
        <v>219</v>
      </c>
      <c r="C219" s="9" t="s">
        <v>34</v>
      </c>
      <c r="D219" s="9"/>
      <c r="E219" s="9"/>
      <c r="F219" s="9"/>
      <c r="G219" s="199"/>
      <c r="H219" s="200"/>
      <c r="I219" s="200"/>
      <c r="J219" s="200"/>
      <c r="K219" s="200"/>
      <c r="L219" s="201"/>
      <c r="M219" s="14" t="s">
        <v>41</v>
      </c>
      <c r="N219" s="118">
        <v>19587</v>
      </c>
      <c r="O219" s="9"/>
      <c r="P219" s="9"/>
      <c r="Q219" s="107" t="s">
        <v>57</v>
      </c>
    </row>
    <row r="220" spans="1:18" ht="20.25" customHeight="1" x14ac:dyDescent="0.25">
      <c r="A220" s="136">
        <v>1</v>
      </c>
      <c r="B220" s="145" t="s">
        <v>220</v>
      </c>
      <c r="C220" s="148" t="s">
        <v>34</v>
      </c>
      <c r="D220" s="148"/>
      <c r="E220" s="148"/>
      <c r="F220" s="148"/>
      <c r="G220" s="218"/>
      <c r="H220" s="219"/>
      <c r="I220" s="219"/>
      <c r="J220" s="219"/>
      <c r="K220" s="219"/>
      <c r="L220" s="220"/>
      <c r="M220" s="14" t="s">
        <v>41</v>
      </c>
      <c r="N220" s="118">
        <v>19587</v>
      </c>
      <c r="O220" s="9"/>
      <c r="P220" s="9"/>
      <c r="Q220" s="107" t="s">
        <v>57</v>
      </c>
    </row>
    <row r="221" spans="1:18" ht="20.25" customHeight="1" x14ac:dyDescent="0.25">
      <c r="A221" s="136"/>
      <c r="B221" s="144"/>
      <c r="C221" s="150"/>
      <c r="D221" s="150"/>
      <c r="E221" s="150"/>
      <c r="F221" s="150"/>
      <c r="G221" s="221"/>
      <c r="H221" s="222"/>
      <c r="I221" s="222"/>
      <c r="J221" s="222"/>
      <c r="K221" s="222"/>
      <c r="L221" s="223"/>
      <c r="M221" s="62" t="s">
        <v>35</v>
      </c>
      <c r="N221" s="2">
        <v>351</v>
      </c>
      <c r="O221" s="2">
        <v>1979</v>
      </c>
      <c r="P221" s="2">
        <v>15</v>
      </c>
      <c r="Q221" s="107">
        <v>103</v>
      </c>
    </row>
    <row r="222" spans="1:18" ht="23.25" customHeight="1" x14ac:dyDescent="0.25">
      <c r="A222" s="101">
        <v>1</v>
      </c>
      <c r="B222" s="39" t="s">
        <v>221</v>
      </c>
      <c r="C222" s="9" t="s">
        <v>34</v>
      </c>
      <c r="D222" s="9"/>
      <c r="E222" s="9"/>
      <c r="F222" s="9"/>
      <c r="G222" s="199"/>
      <c r="H222" s="200"/>
      <c r="I222" s="200"/>
      <c r="J222" s="200"/>
      <c r="K222" s="200"/>
      <c r="L222" s="201"/>
      <c r="M222" s="62" t="s">
        <v>35</v>
      </c>
      <c r="N222" s="2">
        <v>351</v>
      </c>
      <c r="O222" s="2">
        <v>1979</v>
      </c>
      <c r="P222" s="2">
        <v>15</v>
      </c>
      <c r="Q222" s="107">
        <v>134</v>
      </c>
    </row>
    <row r="223" spans="1:18" ht="20.25" customHeight="1" x14ac:dyDescent="0.25">
      <c r="A223" s="136">
        <v>1</v>
      </c>
      <c r="B223" s="145" t="s">
        <v>222</v>
      </c>
      <c r="C223" s="148" t="s">
        <v>34</v>
      </c>
      <c r="D223" s="148"/>
      <c r="E223" s="148"/>
      <c r="F223" s="148"/>
      <c r="G223" s="218"/>
      <c r="H223" s="219"/>
      <c r="I223" s="219"/>
      <c r="J223" s="219"/>
      <c r="K223" s="219"/>
      <c r="L223" s="220"/>
      <c r="M223" s="14" t="s">
        <v>41</v>
      </c>
      <c r="N223" s="118">
        <v>19587</v>
      </c>
      <c r="O223" s="2"/>
      <c r="P223" s="2"/>
      <c r="Q223" s="107" t="s">
        <v>87</v>
      </c>
    </row>
    <row r="224" spans="1:18" ht="20.25" customHeight="1" x14ac:dyDescent="0.25">
      <c r="A224" s="136"/>
      <c r="B224" s="144"/>
      <c r="C224" s="150"/>
      <c r="D224" s="150"/>
      <c r="E224" s="150"/>
      <c r="F224" s="150"/>
      <c r="G224" s="221"/>
      <c r="H224" s="222"/>
      <c r="I224" s="222"/>
      <c r="J224" s="222"/>
      <c r="K224" s="222"/>
      <c r="L224" s="223"/>
      <c r="M224" s="62" t="s">
        <v>35</v>
      </c>
      <c r="N224" s="2">
        <v>351</v>
      </c>
      <c r="O224" s="2">
        <v>1979</v>
      </c>
      <c r="P224" s="9">
        <v>21</v>
      </c>
      <c r="Q224" s="107" t="s">
        <v>223</v>
      </c>
    </row>
    <row r="225" spans="1:18" ht="28.5" customHeight="1" x14ac:dyDescent="0.25">
      <c r="A225" s="101">
        <v>1</v>
      </c>
      <c r="B225" s="39" t="s">
        <v>224</v>
      </c>
      <c r="C225" s="9" t="s">
        <v>34</v>
      </c>
      <c r="D225" s="9"/>
      <c r="E225" s="9"/>
      <c r="F225" s="9"/>
      <c r="G225" s="199"/>
      <c r="H225" s="200"/>
      <c r="I225" s="200"/>
      <c r="J225" s="200"/>
      <c r="K225" s="200"/>
      <c r="L225" s="201"/>
      <c r="M225" s="62" t="s">
        <v>35</v>
      </c>
      <c r="N225" s="2">
        <v>351</v>
      </c>
      <c r="O225" s="2">
        <v>1979</v>
      </c>
      <c r="P225" s="2">
        <v>15</v>
      </c>
      <c r="Q225" s="107">
        <v>134</v>
      </c>
    </row>
    <row r="226" spans="1:18" ht="20.25" customHeight="1" x14ac:dyDescent="0.25">
      <c r="A226" s="101">
        <v>1</v>
      </c>
      <c r="B226" s="40" t="s">
        <v>225</v>
      </c>
      <c r="C226" s="7"/>
      <c r="D226" s="7"/>
      <c r="E226" s="7"/>
      <c r="F226" s="7" t="s">
        <v>34</v>
      </c>
      <c r="G226" s="224"/>
      <c r="H226" s="225"/>
      <c r="I226" s="225"/>
      <c r="J226" s="225"/>
      <c r="K226" s="225"/>
      <c r="L226" s="226"/>
      <c r="M226" s="63" t="s">
        <v>35</v>
      </c>
      <c r="N226" s="98">
        <v>351</v>
      </c>
      <c r="O226" s="98">
        <v>1979</v>
      </c>
      <c r="P226" s="98">
        <v>15</v>
      </c>
      <c r="Q226" s="108">
        <v>136</v>
      </c>
    </row>
    <row r="227" spans="1:18" ht="20.25" customHeight="1" x14ac:dyDescent="0.25">
      <c r="A227" s="101"/>
      <c r="C227" s="83">
        <f>+IF(C216="X",+C215,0)+IF(C217="X",+C215,0)+IF(C218="X",+C215,0)+IF(C219="X",+C215,0)+IF(C220="X",+C215,0)+IF(C222="X",+C215,0)+IF(C223="X",+C215,0)+IF(C225="X",+C215,0)+IF(C226="X",+C215,0)</f>
        <v>24</v>
      </c>
      <c r="D227" s="83">
        <f>+IF(D216="X",+D215,0)+IF(D217="X",+D215,0)+IF(D218="X",+D215,0)+IF(D219="X",+D215,0)+IF(D220="X",+D215,0)+IF(D222="X",+D215,0)+IF(D223="X",+D215,0)+IF(D225="X",+D215,0)+IF(D226="X",+D215,0)</f>
        <v>0</v>
      </c>
      <c r="E227" s="83">
        <f>+IF(E216="X",+E215,0)+IF(E217="X",+E215,0)+IF(E218="X",+E215,0)+IF(E219="X",+E215,0)+IF(E220="X",+E215,0)+IF(E222="X",+E215,0)+IF(E223="X",+E215,0)+IF(E225="X",+E215,0)+IF(E226="X",+E215,0)</f>
        <v>0</v>
      </c>
      <c r="F227" s="83">
        <f>+IF(F216="X",+F215,0)+IF(F217="X",+F215,0)+IF(F218="X",+F215,0)+IF(F219="X",+F215,0)+IF(F220="X",+F215,0)+IF(F222="X",+F215,0)+IF(F223="X",+F215,0)+IF(F225="X",+F215,0)+IF(F226="X",+F215,0)</f>
        <v>1</v>
      </c>
      <c r="G227" s="82">
        <f>SUM(C227:E227)</f>
        <v>24</v>
      </c>
      <c r="I227" s="1"/>
      <c r="J227" s="1"/>
      <c r="K227" s="1"/>
      <c r="M227" s="10"/>
      <c r="N227" s="27"/>
      <c r="O227" s="27"/>
      <c r="P227" s="27"/>
      <c r="Q227" s="27"/>
    </row>
    <row r="228" spans="1:18" ht="20.25" customHeight="1" x14ac:dyDescent="0.25">
      <c r="A228" s="100">
        <f>SUM(A229)</f>
        <v>1</v>
      </c>
      <c r="B228" s="29" t="s">
        <v>226</v>
      </c>
      <c r="C228" s="23">
        <v>1</v>
      </c>
      <c r="D228" s="23">
        <v>0.5</v>
      </c>
      <c r="E228" s="23">
        <v>-1</v>
      </c>
      <c r="F228" s="23">
        <v>1</v>
      </c>
      <c r="G228" s="85">
        <f>+C228*A228-F233*C228</f>
        <v>1</v>
      </c>
      <c r="I228" s="1"/>
      <c r="J228" s="1"/>
      <c r="K228" s="1"/>
      <c r="M228" s="57"/>
      <c r="N228" s="25"/>
      <c r="O228" s="25"/>
      <c r="P228" s="25"/>
      <c r="Q228" s="25"/>
      <c r="R228" s="94">
        <f>+(A228-G233)/$A$11</f>
        <v>2.8846153846153848E-2</v>
      </c>
    </row>
    <row r="229" spans="1:18" ht="20.25" customHeight="1" x14ac:dyDescent="0.25">
      <c r="A229" s="136">
        <v>1</v>
      </c>
      <c r="B229" s="143" t="s">
        <v>156</v>
      </c>
      <c r="C229" s="249"/>
      <c r="D229" s="249"/>
      <c r="E229" s="249" t="s">
        <v>34</v>
      </c>
      <c r="F229" s="252"/>
      <c r="G229" s="202" t="s">
        <v>227</v>
      </c>
      <c r="H229" s="202"/>
      <c r="I229" s="202"/>
      <c r="J229" s="202"/>
      <c r="K229" s="202"/>
      <c r="L229" s="203"/>
      <c r="M229" s="59" t="s">
        <v>35</v>
      </c>
      <c r="N229" s="3">
        <v>351</v>
      </c>
      <c r="O229" s="3">
        <v>1979</v>
      </c>
      <c r="P229" s="3">
        <v>9</v>
      </c>
      <c r="Q229" s="105" t="s">
        <v>228</v>
      </c>
    </row>
    <row r="230" spans="1:18" ht="20.25" customHeight="1" x14ac:dyDescent="0.25">
      <c r="A230" s="136"/>
      <c r="B230" s="144"/>
      <c r="C230" s="150"/>
      <c r="D230" s="150"/>
      <c r="E230" s="150"/>
      <c r="F230" s="253"/>
      <c r="G230" s="204"/>
      <c r="H230" s="204"/>
      <c r="I230" s="204"/>
      <c r="J230" s="204"/>
      <c r="K230" s="204"/>
      <c r="L230" s="205"/>
      <c r="M230" s="62" t="s">
        <v>35</v>
      </c>
      <c r="N230" s="2">
        <v>1338</v>
      </c>
      <c r="O230" s="2">
        <v>1996</v>
      </c>
      <c r="P230" s="2"/>
      <c r="Q230" s="106">
        <v>10</v>
      </c>
    </row>
    <row r="231" spans="1:18" ht="20.25" customHeight="1" x14ac:dyDescent="0.25">
      <c r="A231" s="136">
        <v>1</v>
      </c>
      <c r="B231" s="145" t="s">
        <v>170</v>
      </c>
      <c r="C231" s="148"/>
      <c r="D231" s="148"/>
      <c r="E231" s="148" t="s">
        <v>34</v>
      </c>
      <c r="F231" s="254"/>
      <c r="G231" s="130" t="s">
        <v>227</v>
      </c>
      <c r="H231" s="130"/>
      <c r="I231" s="130"/>
      <c r="J231" s="130"/>
      <c r="K231" s="130"/>
      <c r="L231" s="135"/>
      <c r="M231" s="14" t="s">
        <v>41</v>
      </c>
      <c r="N231" s="118">
        <v>19587</v>
      </c>
      <c r="O231" s="2"/>
      <c r="P231" s="2"/>
      <c r="Q231" s="110" t="s">
        <v>229</v>
      </c>
    </row>
    <row r="232" spans="1:18" ht="20.25" customHeight="1" x14ac:dyDescent="0.25">
      <c r="A232" s="136"/>
      <c r="B232" s="147"/>
      <c r="C232" s="251"/>
      <c r="D232" s="251"/>
      <c r="E232" s="251"/>
      <c r="F232" s="255"/>
      <c r="G232" s="133"/>
      <c r="H232" s="133"/>
      <c r="I232" s="133"/>
      <c r="J232" s="133"/>
      <c r="K232" s="133"/>
      <c r="L232" s="165"/>
      <c r="M232" s="63" t="s">
        <v>35</v>
      </c>
      <c r="N232" s="98">
        <v>351</v>
      </c>
      <c r="O232" s="98">
        <v>1979</v>
      </c>
      <c r="P232" s="7">
        <v>9</v>
      </c>
      <c r="Q232" s="108">
        <v>61</v>
      </c>
    </row>
    <row r="233" spans="1:18" ht="20.25" customHeight="1" x14ac:dyDescent="0.25">
      <c r="A233" s="103"/>
      <c r="C233" s="83">
        <f>+IF(C229="X",+C228,0)+IF(C231="X",+C228,0)</f>
        <v>0</v>
      </c>
      <c r="D233" s="83">
        <f>+IF(D229="X",+D228,0)+IF(D231="X",+D228,0)</f>
        <v>0</v>
      </c>
      <c r="E233" s="83">
        <f>+IF(E229="X",+E228,0)+IF(E231="X",+E228,0)</f>
        <v>-2</v>
      </c>
      <c r="F233" s="83">
        <f>+IF(F229="X",+F228,0)+IF(F231="X",+F228,0)</f>
        <v>0</v>
      </c>
      <c r="G233" s="82">
        <f>SUM(C233:E233)</f>
        <v>-2</v>
      </c>
      <c r="I233" s="1"/>
      <c r="J233" s="1"/>
      <c r="K233" s="1"/>
      <c r="M233" s="10"/>
      <c r="N233" s="27"/>
      <c r="O233" s="27"/>
      <c r="P233" s="27"/>
      <c r="Q233" s="27"/>
    </row>
    <row r="234" spans="1:18" ht="20.25" customHeight="1" x14ac:dyDescent="0.25">
      <c r="A234" s="100">
        <f>SUM(A235:A238)</f>
        <v>2</v>
      </c>
      <c r="B234" s="29" t="s">
        <v>230</v>
      </c>
      <c r="C234" s="83">
        <v>1</v>
      </c>
      <c r="D234" s="83">
        <v>0.5</v>
      </c>
      <c r="E234" s="83">
        <v>-1</v>
      </c>
      <c r="F234" s="83">
        <v>1</v>
      </c>
      <c r="G234" s="82">
        <f>+C234*A234-F239*C234</f>
        <v>0</v>
      </c>
      <c r="I234" s="1"/>
      <c r="J234" s="1"/>
      <c r="K234" s="1"/>
      <c r="M234" s="10"/>
      <c r="N234" s="27"/>
      <c r="O234" s="27"/>
      <c r="P234" s="27"/>
      <c r="Q234" s="27"/>
      <c r="R234" s="94">
        <f>+(A234-G239)/$A$11</f>
        <v>1.9230769230769232E-2</v>
      </c>
    </row>
    <row r="235" spans="1:18" ht="20.25" customHeight="1" x14ac:dyDescent="0.25">
      <c r="A235" s="136">
        <v>1</v>
      </c>
      <c r="B235" s="138" t="s">
        <v>231</v>
      </c>
      <c r="C235" s="124"/>
      <c r="D235" s="124"/>
      <c r="E235" s="124"/>
      <c r="F235" s="124" t="s">
        <v>34</v>
      </c>
      <c r="G235" s="202"/>
      <c r="H235" s="202"/>
      <c r="I235" s="202"/>
      <c r="J235" s="202"/>
      <c r="K235" s="202"/>
      <c r="L235" s="203"/>
      <c r="M235" s="17" t="s">
        <v>35</v>
      </c>
      <c r="N235" s="12">
        <v>351</v>
      </c>
      <c r="O235" s="12">
        <v>1979</v>
      </c>
      <c r="P235" s="12">
        <v>13</v>
      </c>
      <c r="Q235" s="97" t="s">
        <v>232</v>
      </c>
    </row>
    <row r="236" spans="1:18" ht="20.25" customHeight="1" x14ac:dyDescent="0.25">
      <c r="A236" s="136"/>
      <c r="B236" s="139"/>
      <c r="C236" s="151"/>
      <c r="D236" s="151"/>
      <c r="E236" s="151"/>
      <c r="F236" s="151"/>
      <c r="G236" s="204"/>
      <c r="H236" s="204"/>
      <c r="I236" s="204"/>
      <c r="J236" s="204"/>
      <c r="K236" s="204"/>
      <c r="L236" s="205"/>
      <c r="M236" s="16" t="s">
        <v>35</v>
      </c>
      <c r="N236" s="115">
        <v>1338</v>
      </c>
      <c r="O236" s="5">
        <v>1996</v>
      </c>
      <c r="P236" s="5"/>
      <c r="Q236" s="95">
        <v>10</v>
      </c>
    </row>
    <row r="237" spans="1:18" ht="20.25" customHeight="1" x14ac:dyDescent="0.25">
      <c r="A237" s="136">
        <v>1</v>
      </c>
      <c r="B237" s="139" t="s">
        <v>170</v>
      </c>
      <c r="C237" s="131"/>
      <c r="D237" s="131"/>
      <c r="E237" s="131"/>
      <c r="F237" s="131" t="s">
        <v>34</v>
      </c>
      <c r="G237" s="130"/>
      <c r="H237" s="130"/>
      <c r="I237" s="130"/>
      <c r="J237" s="130"/>
      <c r="K237" s="130"/>
      <c r="L237" s="135"/>
      <c r="M237" s="16" t="s">
        <v>41</v>
      </c>
      <c r="N237" s="115">
        <v>19587</v>
      </c>
      <c r="O237" s="5"/>
      <c r="P237" s="5"/>
      <c r="Q237" s="95" t="s">
        <v>233</v>
      </c>
    </row>
    <row r="238" spans="1:18" ht="20.25" customHeight="1" x14ac:dyDescent="0.25">
      <c r="A238" s="136"/>
      <c r="B238" s="141"/>
      <c r="C238" s="132"/>
      <c r="D238" s="132"/>
      <c r="E238" s="132"/>
      <c r="F238" s="132"/>
      <c r="G238" s="133"/>
      <c r="H238" s="133"/>
      <c r="I238" s="133"/>
      <c r="J238" s="133"/>
      <c r="K238" s="133"/>
      <c r="L238" s="165"/>
      <c r="M238" s="56" t="s">
        <v>35</v>
      </c>
      <c r="N238" s="6">
        <v>351</v>
      </c>
      <c r="O238" s="6">
        <v>1979</v>
      </c>
      <c r="P238" s="6">
        <v>13</v>
      </c>
      <c r="Q238" s="96">
        <v>87</v>
      </c>
    </row>
    <row r="239" spans="1:18" ht="20.25" customHeight="1" x14ac:dyDescent="0.25">
      <c r="A239" s="103"/>
      <c r="C239" s="83">
        <f>+IF(C235="X",+C234,0)+IF(C237="X",+C234,0)</f>
        <v>0</v>
      </c>
      <c r="D239" s="83">
        <f>+IF(D235="X",+D234,0)+IF(D237="X",+D234,0)</f>
        <v>0</v>
      </c>
      <c r="E239" s="83">
        <f>+IF(E235="X",+E234,0)+IF(E237="X",+E234,0)</f>
        <v>0</v>
      </c>
      <c r="F239" s="83">
        <f>+IF(F235="X",+F234,0)+IF(F237="X",+F234,0)</f>
        <v>2</v>
      </c>
      <c r="G239" s="82">
        <f>SUM(C239:E239)</f>
        <v>0</v>
      </c>
      <c r="I239" s="1"/>
      <c r="J239" s="1"/>
      <c r="K239" s="1"/>
      <c r="M239" s="10"/>
      <c r="N239" s="27"/>
      <c r="O239" s="27"/>
      <c r="P239" s="27"/>
      <c r="Q239" s="27"/>
    </row>
    <row r="240" spans="1:18" ht="20.25" customHeight="1" x14ac:dyDescent="0.3">
      <c r="A240" s="100">
        <f>SUM(A241:A244)</f>
        <v>2</v>
      </c>
      <c r="B240" s="32" t="s">
        <v>234</v>
      </c>
      <c r="C240" s="23">
        <v>2</v>
      </c>
      <c r="D240" s="23">
        <v>1</v>
      </c>
      <c r="E240" s="23">
        <v>-1</v>
      </c>
      <c r="F240" s="23">
        <v>1</v>
      </c>
      <c r="G240" s="33">
        <f>+C240*A240-F245*C240</f>
        <v>0</v>
      </c>
      <c r="I240" s="1"/>
      <c r="J240" s="1"/>
      <c r="K240" s="1"/>
      <c r="M240" s="57"/>
      <c r="N240" s="25"/>
      <c r="O240" s="25"/>
      <c r="P240" s="25"/>
      <c r="Q240" s="25"/>
      <c r="R240" s="94">
        <f>+(A240-G245)/$A$11</f>
        <v>1.9230769230769232E-2</v>
      </c>
    </row>
    <row r="241" spans="1:17" ht="20.25" customHeight="1" x14ac:dyDescent="0.25">
      <c r="A241" s="136">
        <v>1</v>
      </c>
      <c r="B241" s="142" t="s">
        <v>156</v>
      </c>
      <c r="C241" s="124"/>
      <c r="D241" s="124"/>
      <c r="E241" s="124"/>
      <c r="F241" s="124" t="s">
        <v>34</v>
      </c>
      <c r="G241" s="202"/>
      <c r="H241" s="202"/>
      <c r="I241" s="202"/>
      <c r="J241" s="202"/>
      <c r="K241" s="202"/>
      <c r="L241" s="203"/>
      <c r="M241" s="17" t="s">
        <v>35</v>
      </c>
      <c r="N241" s="12">
        <v>351</v>
      </c>
      <c r="O241" s="12">
        <v>1979</v>
      </c>
      <c r="P241" s="12">
        <v>13</v>
      </c>
      <c r="Q241" s="97">
        <v>93</v>
      </c>
    </row>
    <row r="242" spans="1:17" ht="20.25" customHeight="1" x14ac:dyDescent="0.25">
      <c r="A242" s="136"/>
      <c r="B242" s="137"/>
      <c r="C242" s="151"/>
      <c r="D242" s="151"/>
      <c r="E242" s="151"/>
      <c r="F242" s="151"/>
      <c r="G242" s="204"/>
      <c r="H242" s="204"/>
      <c r="I242" s="204"/>
      <c r="J242" s="204"/>
      <c r="K242" s="204"/>
      <c r="L242" s="205"/>
      <c r="M242" s="16" t="s">
        <v>35</v>
      </c>
      <c r="N242" s="115">
        <v>1338</v>
      </c>
      <c r="O242" s="5">
        <v>1996</v>
      </c>
      <c r="P242" s="5"/>
      <c r="Q242" s="95">
        <v>10</v>
      </c>
    </row>
    <row r="243" spans="1:17" ht="20.25" customHeight="1" x14ac:dyDescent="0.25">
      <c r="A243" s="136">
        <v>1</v>
      </c>
      <c r="B243" s="137" t="s">
        <v>170</v>
      </c>
      <c r="C243" s="131"/>
      <c r="D243" s="131"/>
      <c r="E243" s="131"/>
      <c r="F243" s="131" t="s">
        <v>34</v>
      </c>
      <c r="G243" s="130"/>
      <c r="H243" s="130"/>
      <c r="I243" s="130"/>
      <c r="J243" s="130"/>
      <c r="K243" s="130"/>
      <c r="L243" s="135"/>
      <c r="M243" s="16" t="s">
        <v>41</v>
      </c>
      <c r="N243" s="115">
        <v>19587</v>
      </c>
      <c r="O243" s="5"/>
      <c r="P243" s="5"/>
      <c r="Q243" s="95" t="s">
        <v>233</v>
      </c>
    </row>
    <row r="244" spans="1:17" ht="20.25" customHeight="1" x14ac:dyDescent="0.25">
      <c r="A244" s="136"/>
      <c r="B244" s="140"/>
      <c r="C244" s="132"/>
      <c r="D244" s="132"/>
      <c r="E244" s="132"/>
      <c r="F244" s="132"/>
      <c r="G244" s="133"/>
      <c r="H244" s="133"/>
      <c r="I244" s="133"/>
      <c r="J244" s="133"/>
      <c r="K244" s="133"/>
      <c r="L244" s="165"/>
      <c r="M244" s="56" t="s">
        <v>35</v>
      </c>
      <c r="N244" s="6">
        <v>351</v>
      </c>
      <c r="O244" s="6">
        <v>1979</v>
      </c>
      <c r="P244" s="6">
        <v>13</v>
      </c>
      <c r="Q244" s="96">
        <v>94</v>
      </c>
    </row>
    <row r="245" spans="1:17" ht="20.25" customHeight="1" x14ac:dyDescent="0.25">
      <c r="C245" s="83">
        <f>+IF(C241="X",+C240,0)+IF(C243="X",+C240,0)</f>
        <v>0</v>
      </c>
      <c r="D245" s="83">
        <f>+IF(D241="X",+D240,0)+IF(D243="X",+D240,0)</f>
        <v>0</v>
      </c>
      <c r="E245" s="83">
        <f>+IF(E241="X",+E240,0)+IF(E243="X",+E240,0)</f>
        <v>0</v>
      </c>
      <c r="F245" s="83">
        <f>+IF(F241="X",+F240,0)+IF(F243="X",+F240,0)</f>
        <v>2</v>
      </c>
      <c r="G245" s="82">
        <f>SUM(C245:E245)</f>
        <v>0</v>
      </c>
      <c r="I245" s="1"/>
      <c r="J245" s="1"/>
    </row>
    <row r="246" spans="1:17" x14ac:dyDescent="0.25">
      <c r="A246" s="2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</row>
    <row r="247" spans="1:17" x14ac:dyDescent="0.25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</row>
  </sheetData>
  <sheetProtection algorithmName="SHA-512" hashValue="upN1N7R6joXwdmRaY+QacYAG/ae4alkCskcAmoKoeytltxe495t8SLzPke+gpw28DIH+SocXWfXX1xKTq9NyWQ==" saltValue="3KWamX+bVsidcJJ6vru4Aw==" spinCount="100000" sheet="1" objects="1" scenarios="1"/>
  <protectedRanges>
    <protectedRange sqref="C189:L201 C204:L210 C213:L213 C216:L226 C229:L232 C235:L238 C241:L244" name="Rango2"/>
    <protectedRange sqref="C5 C6 C8 K5 K6 C16:L18 C21:L24 C27:L28 C31:L36 C39:L44 C47:L52 C55:L68 C71:L76 C79:L92 C95:L116 C119:L132 C135:L139 C142:L154 C157:L163 C166:L172 C176:L179 C182:L186" name="Editables"/>
  </protectedRanges>
  <mergeCells count="547">
    <mergeCell ref="C243:C244"/>
    <mergeCell ref="D241:D242"/>
    <mergeCell ref="D243:D244"/>
    <mergeCell ref="E241:E242"/>
    <mergeCell ref="E243:E244"/>
    <mergeCell ref="F241:F242"/>
    <mergeCell ref="F243:F244"/>
    <mergeCell ref="C235:C236"/>
    <mergeCell ref="C237:C238"/>
    <mergeCell ref="D235:D236"/>
    <mergeCell ref="D237:D238"/>
    <mergeCell ref="E235:E236"/>
    <mergeCell ref="E237:E238"/>
    <mergeCell ref="F235:F236"/>
    <mergeCell ref="F237:F238"/>
    <mergeCell ref="C241:C242"/>
    <mergeCell ref="F220:F221"/>
    <mergeCell ref="F223:F224"/>
    <mergeCell ref="C229:C230"/>
    <mergeCell ref="C231:C232"/>
    <mergeCell ref="D229:D230"/>
    <mergeCell ref="D231:D232"/>
    <mergeCell ref="E229:E230"/>
    <mergeCell ref="E231:E232"/>
    <mergeCell ref="F229:F230"/>
    <mergeCell ref="F231:F232"/>
    <mergeCell ref="C204:C205"/>
    <mergeCell ref="C206:C207"/>
    <mergeCell ref="C208:C210"/>
    <mergeCell ref="C220:C221"/>
    <mergeCell ref="C223:C224"/>
    <mergeCell ref="D220:D221"/>
    <mergeCell ref="D223:D224"/>
    <mergeCell ref="E220:E221"/>
    <mergeCell ref="E223:E224"/>
    <mergeCell ref="G111:L112"/>
    <mergeCell ref="G113:L114"/>
    <mergeCell ref="G115:L116"/>
    <mergeCell ref="G119:L120"/>
    <mergeCell ref="D191:D192"/>
    <mergeCell ref="D193:D194"/>
    <mergeCell ref="D195:D197"/>
    <mergeCell ref="D198:D199"/>
    <mergeCell ref="E191:E192"/>
    <mergeCell ref="E193:E194"/>
    <mergeCell ref="E195:E197"/>
    <mergeCell ref="E198:E199"/>
    <mergeCell ref="F191:F192"/>
    <mergeCell ref="F193:F194"/>
    <mergeCell ref="F195:F197"/>
    <mergeCell ref="F198:F199"/>
    <mergeCell ref="G195:L197"/>
    <mergeCell ref="G135:L136"/>
    <mergeCell ref="G121:L122"/>
    <mergeCell ref="G123:L124"/>
    <mergeCell ref="G125:L126"/>
    <mergeCell ref="G191:L192"/>
    <mergeCell ref="G127:L128"/>
    <mergeCell ref="G193:L194"/>
    <mergeCell ref="O11:O13"/>
    <mergeCell ref="P11:P13"/>
    <mergeCell ref="Q11:Q13"/>
    <mergeCell ref="G101:L102"/>
    <mergeCell ref="G103:L104"/>
    <mergeCell ref="G105:L106"/>
    <mergeCell ref="G107:L108"/>
    <mergeCell ref="G21:L21"/>
    <mergeCell ref="H10:L11"/>
    <mergeCell ref="H12:L12"/>
    <mergeCell ref="G47:L48"/>
    <mergeCell ref="G49:L50"/>
    <mergeCell ref="G51:L52"/>
    <mergeCell ref="G55:L56"/>
    <mergeCell ref="G57:L58"/>
    <mergeCell ref="G59:L59"/>
    <mergeCell ref="G60:L60"/>
    <mergeCell ref="G61:L61"/>
    <mergeCell ref="G62:L62"/>
    <mergeCell ref="G63:L64"/>
    <mergeCell ref="G65:L66"/>
    <mergeCell ref="G67:L68"/>
    <mergeCell ref="G71:L72"/>
    <mergeCell ref="G73:L74"/>
    <mergeCell ref="G129:L130"/>
    <mergeCell ref="G131:L132"/>
    <mergeCell ref="G162:L163"/>
    <mergeCell ref="G179:L179"/>
    <mergeCell ref="G166:L167"/>
    <mergeCell ref="G168:L170"/>
    <mergeCell ref="G171:L172"/>
    <mergeCell ref="G201:L201"/>
    <mergeCell ref="G137:L138"/>
    <mergeCell ref="G139:L139"/>
    <mergeCell ref="G198:L199"/>
    <mergeCell ref="G200:L200"/>
    <mergeCell ref="G142:L143"/>
    <mergeCell ref="G144:L144"/>
    <mergeCell ref="G182:L182"/>
    <mergeCell ref="G145:L146"/>
    <mergeCell ref="G183:L183"/>
    <mergeCell ref="G147:L148"/>
    <mergeCell ref="G184:L184"/>
    <mergeCell ref="G149:L150"/>
    <mergeCell ref="G185:L185"/>
    <mergeCell ref="G151:L153"/>
    <mergeCell ref="G186:L186"/>
    <mergeCell ref="G154:L154"/>
    <mergeCell ref="G176:L176"/>
    <mergeCell ref="G157:L158"/>
    <mergeCell ref="G177:L177"/>
    <mergeCell ref="G159:L161"/>
    <mergeCell ref="G178:L178"/>
    <mergeCell ref="G189:L189"/>
    <mergeCell ref="G190:L190"/>
    <mergeCell ref="G226:L226"/>
    <mergeCell ref="G213:L213"/>
    <mergeCell ref="G208:L210"/>
    <mergeCell ref="G206:L207"/>
    <mergeCell ref="G204:L205"/>
    <mergeCell ref="G223:L224"/>
    <mergeCell ref="G75:L76"/>
    <mergeCell ref="G79:L80"/>
    <mergeCell ref="G81:L82"/>
    <mergeCell ref="G83:L84"/>
    <mergeCell ref="G85:L86"/>
    <mergeCell ref="G243:L244"/>
    <mergeCell ref="G241:L242"/>
    <mergeCell ref="G22:L24"/>
    <mergeCell ref="G27:L27"/>
    <mergeCell ref="G235:L236"/>
    <mergeCell ref="G237:L238"/>
    <mergeCell ref="G28:L28"/>
    <mergeCell ref="G229:L230"/>
    <mergeCell ref="G231:L232"/>
    <mergeCell ref="G216:L216"/>
    <mergeCell ref="G31:L32"/>
    <mergeCell ref="G217:L217"/>
    <mergeCell ref="G33:L34"/>
    <mergeCell ref="G218:L218"/>
    <mergeCell ref="G35:L36"/>
    <mergeCell ref="G219:L219"/>
    <mergeCell ref="G220:L221"/>
    <mergeCell ref="G222:L222"/>
    <mergeCell ref="G39:L40"/>
    <mergeCell ref="G41:L42"/>
    <mergeCell ref="G225:L225"/>
    <mergeCell ref="G43:L44"/>
    <mergeCell ref="G87:L88"/>
    <mergeCell ref="A103:A104"/>
    <mergeCell ref="A97:A98"/>
    <mergeCell ref="A99:A100"/>
    <mergeCell ref="A95:A96"/>
    <mergeCell ref="A85:A86"/>
    <mergeCell ref="A57:A58"/>
    <mergeCell ref="A49:A50"/>
    <mergeCell ref="A41:A42"/>
    <mergeCell ref="A55:A56"/>
    <mergeCell ref="A51:A52"/>
    <mergeCell ref="A47:A48"/>
    <mergeCell ref="A91:A92"/>
    <mergeCell ref="A87:A88"/>
    <mergeCell ref="A67:A68"/>
    <mergeCell ref="A63:A64"/>
    <mergeCell ref="D73:D74"/>
    <mergeCell ref="E73:E74"/>
    <mergeCell ref="C81:C82"/>
    <mergeCell ref="C191:C192"/>
    <mergeCell ref="C193:C194"/>
    <mergeCell ref="G16:L16"/>
    <mergeCell ref="G17:L17"/>
    <mergeCell ref="G18:L18"/>
    <mergeCell ref="B11:B12"/>
    <mergeCell ref="G10:G11"/>
    <mergeCell ref="H13:L13"/>
    <mergeCell ref="A5:A8"/>
    <mergeCell ref="A11:A12"/>
    <mergeCell ref="A101:A102"/>
    <mergeCell ref="C5:F5"/>
    <mergeCell ref="C6:F6"/>
    <mergeCell ref="C8:F8"/>
    <mergeCell ref="K5:Q5"/>
    <mergeCell ref="K6:Q6"/>
    <mergeCell ref="J7:Q7"/>
    <mergeCell ref="J8:Q8"/>
    <mergeCell ref="G89:L90"/>
    <mergeCell ref="G91:L92"/>
    <mergeCell ref="G95:L96"/>
    <mergeCell ref="G97:L98"/>
    <mergeCell ref="G99:L100"/>
    <mergeCell ref="M10:Q10"/>
    <mergeCell ref="M11:M13"/>
    <mergeCell ref="N11:N13"/>
    <mergeCell ref="M1:Q2"/>
    <mergeCell ref="M3:Q4"/>
    <mergeCell ref="A151:A153"/>
    <mergeCell ref="A145:A146"/>
    <mergeCell ref="A147:A148"/>
    <mergeCell ref="A149:A150"/>
    <mergeCell ref="A142:A143"/>
    <mergeCell ref="A135:A136"/>
    <mergeCell ref="A137:A138"/>
    <mergeCell ref="A131:A132"/>
    <mergeCell ref="B1:L2"/>
    <mergeCell ref="B3:L4"/>
    <mergeCell ref="A1:A4"/>
    <mergeCell ref="B113:B114"/>
    <mergeCell ref="A113:A114"/>
    <mergeCell ref="E57:E58"/>
    <mergeCell ref="A73:A74"/>
    <mergeCell ref="A81:A82"/>
    <mergeCell ref="B91:B92"/>
    <mergeCell ref="A89:A90"/>
    <mergeCell ref="B89:B90"/>
    <mergeCell ref="A79:A80"/>
    <mergeCell ref="B79:B80"/>
    <mergeCell ref="A83:A84"/>
    <mergeCell ref="C195:C197"/>
    <mergeCell ref="C198:C199"/>
    <mergeCell ref="B119:B120"/>
    <mergeCell ref="A121:A122"/>
    <mergeCell ref="B121:B122"/>
    <mergeCell ref="A123:A124"/>
    <mergeCell ref="B123:B124"/>
    <mergeCell ref="A125:A126"/>
    <mergeCell ref="B125:B126"/>
    <mergeCell ref="A127:A128"/>
    <mergeCell ref="B127:B128"/>
    <mergeCell ref="A195:A197"/>
    <mergeCell ref="B195:B197"/>
    <mergeCell ref="B191:B192"/>
    <mergeCell ref="A191:A192"/>
    <mergeCell ref="A193:A194"/>
    <mergeCell ref="B193:B194"/>
    <mergeCell ref="C166:C167"/>
    <mergeCell ref="C55:C56"/>
    <mergeCell ref="D55:D56"/>
    <mergeCell ref="E55:E56"/>
    <mergeCell ref="F55:F56"/>
    <mergeCell ref="B51:B52"/>
    <mergeCell ref="B83:B84"/>
    <mergeCell ref="B67:B68"/>
    <mergeCell ref="A65:A66"/>
    <mergeCell ref="B65:B66"/>
    <mergeCell ref="C79:C80"/>
    <mergeCell ref="D79:D80"/>
    <mergeCell ref="E79:E80"/>
    <mergeCell ref="F57:F58"/>
    <mergeCell ref="C65:C66"/>
    <mergeCell ref="D65:D66"/>
    <mergeCell ref="E65:E66"/>
    <mergeCell ref="F65:F66"/>
    <mergeCell ref="C63:C64"/>
    <mergeCell ref="D63:D64"/>
    <mergeCell ref="E63:E64"/>
    <mergeCell ref="F63:F64"/>
    <mergeCell ref="C57:C58"/>
    <mergeCell ref="D57:D58"/>
    <mergeCell ref="A75:A76"/>
    <mergeCell ref="C47:C48"/>
    <mergeCell ref="D47:D48"/>
    <mergeCell ref="E47:E48"/>
    <mergeCell ref="F47:F48"/>
    <mergeCell ref="C49:C50"/>
    <mergeCell ref="D49:D50"/>
    <mergeCell ref="E49:E50"/>
    <mergeCell ref="F49:F50"/>
    <mergeCell ref="C51:C52"/>
    <mergeCell ref="D51:D52"/>
    <mergeCell ref="E51:E52"/>
    <mergeCell ref="F51:F52"/>
    <mergeCell ref="B43:B44"/>
    <mergeCell ref="A22:A24"/>
    <mergeCell ref="B39:B40"/>
    <mergeCell ref="A43:A44"/>
    <mergeCell ref="B41:B42"/>
    <mergeCell ref="B22:B24"/>
    <mergeCell ref="A31:A32"/>
    <mergeCell ref="B31:B32"/>
    <mergeCell ref="B33:B34"/>
    <mergeCell ref="B35:B36"/>
    <mergeCell ref="A33:A34"/>
    <mergeCell ref="A35:A36"/>
    <mergeCell ref="A39:A40"/>
    <mergeCell ref="A243:A244"/>
    <mergeCell ref="B243:B244"/>
    <mergeCell ref="B241:B242"/>
    <mergeCell ref="A241:A242"/>
    <mergeCell ref="A220:A221"/>
    <mergeCell ref="B220:B221"/>
    <mergeCell ref="A223:A224"/>
    <mergeCell ref="B223:B224"/>
    <mergeCell ref="A235:A236"/>
    <mergeCell ref="B235:B236"/>
    <mergeCell ref="A237:A238"/>
    <mergeCell ref="B237:B238"/>
    <mergeCell ref="A229:A230"/>
    <mergeCell ref="B229:B230"/>
    <mergeCell ref="A231:A232"/>
    <mergeCell ref="B231:B232"/>
    <mergeCell ref="A204:A205"/>
    <mergeCell ref="B204:B205"/>
    <mergeCell ref="B206:B207"/>
    <mergeCell ref="A206:A207"/>
    <mergeCell ref="B208:B210"/>
    <mergeCell ref="A208:A210"/>
    <mergeCell ref="A159:A161"/>
    <mergeCell ref="B159:B161"/>
    <mergeCell ref="A162:A163"/>
    <mergeCell ref="B162:B163"/>
    <mergeCell ref="A171:A172"/>
    <mergeCell ref="B171:B172"/>
    <mergeCell ref="B166:B167"/>
    <mergeCell ref="A166:A167"/>
    <mergeCell ref="A198:A199"/>
    <mergeCell ref="B198:B199"/>
    <mergeCell ref="B49:B50"/>
    <mergeCell ref="B47:B48"/>
    <mergeCell ref="B63:B64"/>
    <mergeCell ref="B57:B58"/>
    <mergeCell ref="B73:B74"/>
    <mergeCell ref="B71:B72"/>
    <mergeCell ref="B105:B106"/>
    <mergeCell ref="B87:B88"/>
    <mergeCell ref="B95:B96"/>
    <mergeCell ref="B99:B100"/>
    <mergeCell ref="B97:B98"/>
    <mergeCell ref="B103:B104"/>
    <mergeCell ref="B101:B102"/>
    <mergeCell ref="B85:B86"/>
    <mergeCell ref="B75:B76"/>
    <mergeCell ref="B81:B82"/>
    <mergeCell ref="B55:B56"/>
    <mergeCell ref="A107:A108"/>
    <mergeCell ref="B107:B108"/>
    <mergeCell ref="B111:B112"/>
    <mergeCell ref="B109:B110"/>
    <mergeCell ref="A109:A110"/>
    <mergeCell ref="B157:B158"/>
    <mergeCell ref="A157:A158"/>
    <mergeCell ref="A168:A170"/>
    <mergeCell ref="B168:B170"/>
    <mergeCell ref="A111:A112"/>
    <mergeCell ref="A115:A116"/>
    <mergeCell ref="A119:A120"/>
    <mergeCell ref="A129:A130"/>
    <mergeCell ref="B142:B143"/>
    <mergeCell ref="B149:B150"/>
    <mergeCell ref="B147:B148"/>
    <mergeCell ref="B145:B146"/>
    <mergeCell ref="B115:B116"/>
    <mergeCell ref="B129:B130"/>
    <mergeCell ref="B151:B153"/>
    <mergeCell ref="B131:B132"/>
    <mergeCell ref="B137:B138"/>
    <mergeCell ref="B135:B136"/>
    <mergeCell ref="A105:A106"/>
    <mergeCell ref="A71:A72"/>
    <mergeCell ref="C22:C24"/>
    <mergeCell ref="D22:D24"/>
    <mergeCell ref="E22:E24"/>
    <mergeCell ref="F22:F24"/>
    <mergeCell ref="C31:C32"/>
    <mergeCell ref="C33:C34"/>
    <mergeCell ref="D33:D34"/>
    <mergeCell ref="E33:E34"/>
    <mergeCell ref="F33:F34"/>
    <mergeCell ref="C35:C36"/>
    <mergeCell ref="D35:D36"/>
    <mergeCell ref="E35:E36"/>
    <mergeCell ref="F35:F36"/>
    <mergeCell ref="D31:D32"/>
    <mergeCell ref="E31:E32"/>
    <mergeCell ref="F31:F32"/>
    <mergeCell ref="C39:C40"/>
    <mergeCell ref="D39:D40"/>
    <mergeCell ref="E39:E40"/>
    <mergeCell ref="F39:F40"/>
    <mergeCell ref="C41:C42"/>
    <mergeCell ref="D41:D42"/>
    <mergeCell ref="E41:E42"/>
    <mergeCell ref="F41:F42"/>
    <mergeCell ref="C43:C44"/>
    <mergeCell ref="D43:D44"/>
    <mergeCell ref="E43:E44"/>
    <mergeCell ref="F43:F44"/>
    <mergeCell ref="F79:F80"/>
    <mergeCell ref="C85:C86"/>
    <mergeCell ref="D85:D86"/>
    <mergeCell ref="E85:E86"/>
    <mergeCell ref="F85:F86"/>
    <mergeCell ref="C67:C68"/>
    <mergeCell ref="D67:D68"/>
    <mergeCell ref="E67:E68"/>
    <mergeCell ref="F67:F68"/>
    <mergeCell ref="C75:C76"/>
    <mergeCell ref="D75:D76"/>
    <mergeCell ref="E75:E76"/>
    <mergeCell ref="F75:F76"/>
    <mergeCell ref="C71:C72"/>
    <mergeCell ref="D71:D72"/>
    <mergeCell ref="E71:E72"/>
    <mergeCell ref="F71:F72"/>
    <mergeCell ref="C73:C74"/>
    <mergeCell ref="C91:C92"/>
    <mergeCell ref="D91:D92"/>
    <mergeCell ref="E91:E92"/>
    <mergeCell ref="F91:F92"/>
    <mergeCell ref="C89:C90"/>
    <mergeCell ref="D89:D90"/>
    <mergeCell ref="E89:E90"/>
    <mergeCell ref="F89:F90"/>
    <mergeCell ref="C83:C84"/>
    <mergeCell ref="D83:D84"/>
    <mergeCell ref="E83:E84"/>
    <mergeCell ref="F83:F84"/>
    <mergeCell ref="C87:C88"/>
    <mergeCell ref="D87:D88"/>
    <mergeCell ref="E87:E88"/>
    <mergeCell ref="F87:F88"/>
    <mergeCell ref="D81:D82"/>
    <mergeCell ref="E81:E82"/>
    <mergeCell ref="F81:F82"/>
    <mergeCell ref="C115:C116"/>
    <mergeCell ref="D115:D116"/>
    <mergeCell ref="E115:E116"/>
    <mergeCell ref="F115:F116"/>
    <mergeCell ref="C131:C132"/>
    <mergeCell ref="D131:D132"/>
    <mergeCell ref="E131:E132"/>
    <mergeCell ref="F131:F132"/>
    <mergeCell ref="C95:C96"/>
    <mergeCell ref="D95:D96"/>
    <mergeCell ref="E95:E96"/>
    <mergeCell ref="F95:F96"/>
    <mergeCell ref="C97:C98"/>
    <mergeCell ref="D97:D98"/>
    <mergeCell ref="E97:E98"/>
    <mergeCell ref="F97:F98"/>
    <mergeCell ref="C99:C100"/>
    <mergeCell ref="D99:D100"/>
    <mergeCell ref="E99:E100"/>
    <mergeCell ref="C101:C102"/>
    <mergeCell ref="D101:D102"/>
    <mergeCell ref="E101:E102"/>
    <mergeCell ref="F101:F102"/>
    <mergeCell ref="C103:C104"/>
    <mergeCell ref="D103:D104"/>
    <mergeCell ref="E103:E104"/>
    <mergeCell ref="F103:F104"/>
    <mergeCell ref="F99:F100"/>
    <mergeCell ref="C107:C108"/>
    <mergeCell ref="D107:D108"/>
    <mergeCell ref="E107:E108"/>
    <mergeCell ref="F107:F108"/>
    <mergeCell ref="C109:C110"/>
    <mergeCell ref="D109:D110"/>
    <mergeCell ref="E109:E110"/>
    <mergeCell ref="F109:F110"/>
    <mergeCell ref="C105:C106"/>
    <mergeCell ref="D105:D106"/>
    <mergeCell ref="E105:E106"/>
    <mergeCell ref="F105:F106"/>
    <mergeCell ref="G109:L110"/>
    <mergeCell ref="E111:E112"/>
    <mergeCell ref="F111:F112"/>
    <mergeCell ref="C113:C114"/>
    <mergeCell ref="D113:D114"/>
    <mergeCell ref="E113:E114"/>
    <mergeCell ref="F113:F114"/>
    <mergeCell ref="C119:C120"/>
    <mergeCell ref="D119:D120"/>
    <mergeCell ref="E119:E120"/>
    <mergeCell ref="F119:F120"/>
    <mergeCell ref="C111:C112"/>
    <mergeCell ref="D111:D112"/>
    <mergeCell ref="E121:E122"/>
    <mergeCell ref="F121:F122"/>
    <mergeCell ref="C123:C124"/>
    <mergeCell ref="D123:D124"/>
    <mergeCell ref="E123:E124"/>
    <mergeCell ref="F123:F124"/>
    <mergeCell ref="C129:C130"/>
    <mergeCell ref="D129:D130"/>
    <mergeCell ref="E129:E130"/>
    <mergeCell ref="F129:F130"/>
    <mergeCell ref="C125:C126"/>
    <mergeCell ref="D125:D126"/>
    <mergeCell ref="E125:E126"/>
    <mergeCell ref="F125:F126"/>
    <mergeCell ref="C127:C128"/>
    <mergeCell ref="D127:D128"/>
    <mergeCell ref="E127:E128"/>
    <mergeCell ref="F127:F128"/>
    <mergeCell ref="C121:C122"/>
    <mergeCell ref="D121:D122"/>
    <mergeCell ref="F142:F143"/>
    <mergeCell ref="C157:C158"/>
    <mergeCell ref="D157:D158"/>
    <mergeCell ref="E157:E158"/>
    <mergeCell ref="F157:F158"/>
    <mergeCell ref="C145:C146"/>
    <mergeCell ref="D145:D146"/>
    <mergeCell ref="E145:E146"/>
    <mergeCell ref="F145:F146"/>
    <mergeCell ref="C147:C148"/>
    <mergeCell ref="D147:D148"/>
    <mergeCell ref="E147:E148"/>
    <mergeCell ref="F147:F148"/>
    <mergeCell ref="C149:C150"/>
    <mergeCell ref="D149:D150"/>
    <mergeCell ref="E149:E150"/>
    <mergeCell ref="F149:F150"/>
    <mergeCell ref="F73:F74"/>
    <mergeCell ref="C162:C163"/>
    <mergeCell ref="D162:D163"/>
    <mergeCell ref="E162:E163"/>
    <mergeCell ref="F162:F163"/>
    <mergeCell ref="C159:C161"/>
    <mergeCell ref="D159:D161"/>
    <mergeCell ref="E159:E161"/>
    <mergeCell ref="F159:F161"/>
    <mergeCell ref="C135:C136"/>
    <mergeCell ref="D135:D136"/>
    <mergeCell ref="E135:E136"/>
    <mergeCell ref="F135:F136"/>
    <mergeCell ref="C137:C138"/>
    <mergeCell ref="D137:D138"/>
    <mergeCell ref="E137:E138"/>
    <mergeCell ref="F137:F138"/>
    <mergeCell ref="C151:C153"/>
    <mergeCell ref="D151:D153"/>
    <mergeCell ref="E151:E153"/>
    <mergeCell ref="F151:F153"/>
    <mergeCell ref="C142:C143"/>
    <mergeCell ref="D142:D143"/>
    <mergeCell ref="E142:E143"/>
    <mergeCell ref="D166:D167"/>
    <mergeCell ref="E166:E167"/>
    <mergeCell ref="F166:F167"/>
    <mergeCell ref="C168:C170"/>
    <mergeCell ref="D168:D170"/>
    <mergeCell ref="E168:E170"/>
    <mergeCell ref="F168:F170"/>
    <mergeCell ref="C171:C172"/>
    <mergeCell ref="D171:D172"/>
    <mergeCell ref="E171:E172"/>
    <mergeCell ref="F171:F172"/>
  </mergeCells>
  <phoneticPr fontId="0" type="noConversion"/>
  <dataValidations xWindow="699" yWindow="402" count="1">
    <dataValidation allowBlank="1" showInputMessage="1" showErrorMessage="1" sqref="C15:F191 C193:F193 C195:F195 C198:F198 C200:C204 C206 C208 C211:C220 D200:F220 C222:F223 C225:F229 C231:F231 C233:F235 C237:F237 C245:F245 C239:F241 C243:F243 G16:L17" xr:uid="{00000000-0002-0000-0000-000000000000}"/>
  </dataValidations>
  <pageMargins left="0.55118110236220474" right="0.75" top="0.62992125984251968" bottom="0.78740157480314965" header="0.15748031496062992" footer="0.19685039370078741"/>
  <pageSetup paperSize="9" scale="80" fitToHeight="9" orientation="landscape" r:id="rId1"/>
  <headerFooter alignWithMargins="0">
    <oddHeader>&amp;RANEXO II - a</oddHeader>
    <oddFooter>&amp;CPágina &amp;P de &amp;N&amp;R_____________
FIRMA A.R.T.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E641D985E02047BE4A10568660F6CD" ma:contentTypeVersion="18" ma:contentTypeDescription="Crear nuevo documento." ma:contentTypeScope="" ma:versionID="42d7c85178e2dcea15d07bb1687c69a3">
  <xsd:schema xmlns:xsd="http://www.w3.org/2001/XMLSchema" xmlns:xs="http://www.w3.org/2001/XMLSchema" xmlns:p="http://schemas.microsoft.com/office/2006/metadata/properties" xmlns:ns2="8d6af3c6-6506-406f-906a-363a197505cb" xmlns:ns3="bb2b36ed-bee3-4b57-9f16-23d26e905edb" targetNamespace="http://schemas.microsoft.com/office/2006/metadata/properties" ma:root="true" ma:fieldsID="f6e4823d1a1bcfba0042ce6f85749729" ns2:_="" ns3:_="">
    <xsd:import namespace="8d6af3c6-6506-406f-906a-363a197505cb"/>
    <xsd:import namespace="bb2b36ed-bee3-4b57-9f16-23d26e905e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af3c6-6506-406f-906a-363a197505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7353464e-1a1a-4dd7-9163-d2497400a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b36ed-bee3-4b57-9f16-23d26e905ed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98e5fb6-7d21-4832-a6f2-5c3c749cbddc}" ma:internalName="TaxCatchAll" ma:showField="CatchAllData" ma:web="bb2b36ed-bee3-4b57-9f16-23d26e905e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2b36ed-bee3-4b57-9f16-23d26e905edb" xsi:nil="true"/>
    <lcf76f155ced4ddcb4097134ff3c332f xmlns="8d6af3c6-6506-406f-906a-363a197505cb">
      <Terms xmlns="http://schemas.microsoft.com/office/infopath/2007/PartnerControls"/>
    </lcf76f155ced4ddcb4097134ff3c332f>
    <SharedWithUsers xmlns="bb2b36ed-bee3-4b57-9f16-23d26e905edb">
      <UserInfo>
        <DisplayName>Calidad Patagonia</DisplayName>
        <AccountId>334</AccountId>
        <AccountType/>
      </UserInfo>
      <UserInfo>
        <DisplayName>Calidad San Luis</DisplayName>
        <AccountId>215</AccountId>
        <AccountType/>
      </UserInfo>
      <UserInfo>
        <DisplayName>Patricio Riquez</DisplayName>
        <AccountId>893</AccountId>
        <AccountType/>
      </UserInfo>
      <UserInfo>
        <DisplayName>Analia Reyes</DisplayName>
        <AccountId>161</AccountId>
        <AccountType/>
      </UserInfo>
      <UserInfo>
        <DisplayName>Calidad Añelo</DisplayName>
        <AccountId>1319</AccountId>
        <AccountType/>
      </UserInfo>
      <UserInfo>
        <DisplayName>Analia Basilotto</DisplayName>
        <AccountId>761</AccountId>
        <AccountType/>
      </UserInfo>
      <UserInfo>
        <DisplayName>Mauricio Vernieres</DisplayName>
        <AccountId>31</AccountId>
        <AccountType/>
      </UserInfo>
      <UserInfo>
        <DisplayName>Martin Berrondo</DisplayName>
        <AccountId>66</AccountId>
        <AccountType/>
      </UserInfo>
      <UserInfo>
        <DisplayName>Favio Pagano</DisplayName>
        <AccountId>65</AccountId>
        <AccountType/>
      </UserInfo>
      <UserInfo>
        <DisplayName>Maria Cecilia Canet</DisplayName>
        <AccountId>12</AccountId>
        <AccountType/>
      </UserInfo>
      <UserInfo>
        <DisplayName>Franco Chernajosky</DisplayName>
        <AccountId>44</AccountId>
        <AccountType/>
      </UserInfo>
      <UserInfo>
        <DisplayName>Juan Ceballos</DisplayName>
        <AccountId>359</AccountId>
        <AccountType/>
      </UserInfo>
      <UserInfo>
        <DisplayName>Calidad Neuquen</DisplayName>
        <AccountId>340</AccountId>
        <AccountType/>
      </UserInfo>
      <UserInfo>
        <DisplayName>Sebastian Ruiz</DisplayName>
        <AccountId>299</AccountId>
        <AccountType/>
      </UserInfo>
      <UserInfo>
        <DisplayName>Calidad Bs. As. Norte</DisplayName>
        <AccountId>54</AccountId>
        <AccountType/>
      </UserInfo>
      <UserInfo>
        <DisplayName>Gaston Ascar</DisplayName>
        <AccountId>849</AccountId>
        <AccountType/>
      </UserInfo>
      <UserInfo>
        <DisplayName>Carina Vega</DisplayName>
        <AccountId>889</AccountId>
        <AccountType/>
      </UserInfo>
      <UserInfo>
        <DisplayName>Calidad CABA</DisplayName>
        <AccountId>347</AccountId>
        <AccountType/>
      </UserInfo>
      <UserInfo>
        <DisplayName>Operación Olavarría</DisplayName>
        <AccountId>1179</AccountId>
        <AccountType/>
      </UserInfo>
      <UserInfo>
        <DisplayName>Paz Iribarne</DisplayName>
        <AccountId>159</AccountId>
        <AccountType/>
      </UserInfo>
      <UserInfo>
        <DisplayName>Calidad POBA</DisplayName>
        <AccountId>886</AccountId>
        <AccountType/>
      </UserInfo>
      <UserInfo>
        <DisplayName>Calidad Bahía Blanca</DisplayName>
        <AccountId>358</AccountId>
        <AccountType/>
      </UserInfo>
      <UserInfo>
        <DisplayName>Jorge Lopez</DisplayName>
        <AccountId>29</AccountId>
        <AccountType/>
      </UserInfo>
      <UserInfo>
        <DisplayName>Operacion Rincon</DisplayName>
        <AccountId>295</AccountId>
        <AccountType/>
      </UserInfo>
      <UserInfo>
        <DisplayName>Calidad Salta</DisplayName>
        <AccountId>1168</AccountId>
        <AccountType/>
      </UserInfo>
      <UserInfo>
        <DisplayName>Viviana Otero Neira</DisplayName>
        <AccountId>134</AccountId>
        <AccountType/>
      </UserInfo>
      <UserInfo>
        <DisplayName>Ivana Cheppi</DisplayName>
        <AccountId>649</AccountId>
        <AccountType/>
      </UserInfo>
      <UserInfo>
        <DisplayName>Guillermo Ulrich</DisplayName>
        <AccountId>1199</AccountId>
        <AccountType/>
      </UserInfo>
      <UserInfo>
        <DisplayName>Rodolfo Aguilar</DisplayName>
        <AccountId>303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1F5E84-6970-45C9-8FF6-6F4B65F0D9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af3c6-6506-406f-906a-363a197505cb"/>
    <ds:schemaRef ds:uri="bb2b36ed-bee3-4b57-9f16-23d26e905e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9CBDC1-3E1A-488D-9E8C-CA3BB89DEEDF}">
  <ds:schemaRefs>
    <ds:schemaRef ds:uri="http://schemas.microsoft.com/office/2006/metadata/properties"/>
    <ds:schemaRef ds:uri="http://schemas.microsoft.com/office/infopath/2007/PartnerControls"/>
    <ds:schemaRef ds:uri="bb2b36ed-bee3-4b57-9f16-23d26e905edb"/>
    <ds:schemaRef ds:uri="8d6af3c6-6506-406f-906a-363a197505cb"/>
  </ds:schemaRefs>
</ds:datastoreItem>
</file>

<file path=customXml/itemProps3.xml><?xml version="1.0" encoding="utf-8"?>
<ds:datastoreItem xmlns:ds="http://schemas.openxmlformats.org/officeDocument/2006/customXml" ds:itemID="{7058E95F-51F0-4B35-9BE0-C091CF087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FR 107-05 Control de HyS</vt:lpstr>
      <vt:lpstr>'FR 107-05 Control de HyS'!Área_de_impresión</vt:lpstr>
    </vt:vector>
  </TitlesOfParts>
  <Manager/>
  <Company>SRT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campos</dc:creator>
  <cp:keywords/>
  <dc:description/>
  <cp:lastModifiedBy>fernando vidal</cp:lastModifiedBy>
  <cp:revision/>
  <dcterms:created xsi:type="dcterms:W3CDTF">2000-04-19T15:21:24Z</dcterms:created>
  <dcterms:modified xsi:type="dcterms:W3CDTF">2026-02-03T17:19:23Z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0x01010022E641D985E02047BE4A10568660F6CD</vt:lpwstr>
  </property>
  <property fmtid="{D5CDD505-2E9C-101B-9397-08002B2CF9AE}" pid="3" name="MediaServiceImageTags">
    <vt:lpwstr/>
  </property>
</Properties>
</file>